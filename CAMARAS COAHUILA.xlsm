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Brandon.Lopez\Documents\Trabajo\1906 Acuña\Cuestionarios empresas\Oficio para camaras\PDF\"/>
    </mc:Choice>
  </mc:AlternateContent>
  <bookViews>
    <workbookView xWindow="0" yWindow="0" windowWidth="18315" windowHeight="12360" firstSheet="2" activeTab="6"/>
  </bookViews>
  <sheets>
    <sheet name="5 regiones" sheetId="1" r:id="rId1"/>
    <sheet name="Hoja1" sheetId="2" r:id="rId2"/>
    <sheet name="Hoja2" sheetId="3" r:id="rId3"/>
    <sheet name="5 regiones (2)" sheetId="4" r:id="rId4"/>
    <sheet name="5 regiones (3)" sheetId="6" r:id="rId5"/>
    <sheet name="Hoja4" sheetId="5" r:id="rId6"/>
    <sheet name="Ardest" sheetId="7" r:id="rId7"/>
  </sheets>
  <definedNames>
    <definedName name="_xlnm._FilterDatabase" localSheetId="0" hidden="1">'5 regiones'!$A$3:$I$19</definedName>
    <definedName name="_xlnm._FilterDatabase" localSheetId="3" hidden="1">'5 regiones (2)'!$A$3:$I$19</definedName>
    <definedName name="_xlnm._FilterDatabase" localSheetId="4" hidden="1">'5 regiones (3)'!$A$3:$I$19</definedName>
  </definedNames>
  <calcPr calcId="152511"/>
</workbook>
</file>

<file path=xl/calcChain.xml><?xml version="1.0" encoding="utf-8"?>
<calcChain xmlns="http://schemas.openxmlformats.org/spreadsheetml/2006/main">
  <c r="AF3" i="7" l="1"/>
  <c r="AF4" i="7"/>
  <c r="AF5" i="7"/>
  <c r="AF6" i="7"/>
  <c r="AF7" i="7"/>
  <c r="AF8" i="7"/>
  <c r="AF9" i="7"/>
  <c r="AF10" i="7"/>
  <c r="AF11" i="7"/>
  <c r="AF12" i="7"/>
  <c r="AF13" i="7"/>
  <c r="AF14" i="7"/>
  <c r="AF15" i="7"/>
  <c r="AF16" i="7"/>
  <c r="AF17" i="7"/>
  <c r="AF18" i="7"/>
  <c r="AF19" i="7"/>
  <c r="AF20" i="7"/>
  <c r="AF21" i="7"/>
  <c r="AF22" i="7"/>
  <c r="AF23" i="7"/>
  <c r="AF24" i="7"/>
  <c r="AF25" i="7"/>
  <c r="AF26" i="7"/>
  <c r="AF27" i="7"/>
  <c r="AF28" i="7"/>
  <c r="AF29" i="7"/>
  <c r="AF30" i="7"/>
  <c r="AF31" i="7"/>
  <c r="AF32" i="7"/>
  <c r="AF33" i="7"/>
  <c r="AF34" i="7"/>
  <c r="AF35" i="7"/>
  <c r="AF36" i="7"/>
  <c r="AF37" i="7"/>
  <c r="AF38" i="7"/>
  <c r="AF39" i="7"/>
  <c r="AF40" i="7"/>
  <c r="AF41" i="7"/>
  <c r="AF42" i="7"/>
  <c r="AF43" i="7"/>
  <c r="AF44" i="7"/>
  <c r="AF45" i="7"/>
  <c r="AF46" i="7"/>
  <c r="AF47" i="7"/>
  <c r="AF48" i="7"/>
  <c r="AF49" i="7"/>
  <c r="AF50" i="7"/>
  <c r="AF51" i="7"/>
  <c r="AF52" i="7"/>
  <c r="AF53" i="7"/>
  <c r="AF54" i="7"/>
  <c r="AF55" i="7"/>
  <c r="AF56" i="7"/>
  <c r="AF57" i="7"/>
  <c r="AF58" i="7"/>
  <c r="AF59" i="7"/>
  <c r="AA3" i="7"/>
  <c r="Y3" i="7" l="1"/>
  <c r="Y4" i="7"/>
  <c r="Y5" i="7"/>
  <c r="Y6" i="7"/>
  <c r="Y7" i="7"/>
  <c r="Y8" i="7"/>
  <c r="Y9" i="7"/>
  <c r="Y10" i="7"/>
  <c r="Y11" i="7"/>
  <c r="Y12" i="7"/>
  <c r="Y13" i="7"/>
  <c r="Y14" i="7"/>
  <c r="Y15" i="7"/>
  <c r="Y16" i="7"/>
  <c r="Y17" i="7"/>
  <c r="Y18" i="7"/>
  <c r="Y19" i="7"/>
  <c r="Y20" i="7"/>
  <c r="Y21" i="7"/>
  <c r="Y22" i="7"/>
  <c r="Y23" i="7"/>
  <c r="Y24" i="7"/>
  <c r="Y25" i="7"/>
  <c r="Y26" i="7"/>
  <c r="Y27" i="7"/>
  <c r="Y28" i="7"/>
  <c r="Y29" i="7"/>
  <c r="Y30" i="7"/>
  <c r="Y31" i="7"/>
  <c r="Y32" i="7"/>
  <c r="Y33" i="7"/>
  <c r="Y34" i="7"/>
  <c r="Y35" i="7"/>
  <c r="Y36" i="7"/>
  <c r="Y37" i="7"/>
  <c r="Y38" i="7"/>
  <c r="Y39" i="7"/>
  <c r="Y40" i="7"/>
  <c r="Y41" i="7"/>
  <c r="Y42" i="7"/>
  <c r="Y43" i="7"/>
  <c r="Y44" i="7"/>
  <c r="Y45" i="7"/>
  <c r="Y46" i="7"/>
  <c r="Y47" i="7"/>
  <c r="Y48" i="7"/>
  <c r="Y49" i="7"/>
  <c r="Y50" i="7"/>
  <c r="Y51" i="7"/>
  <c r="Y52" i="7"/>
  <c r="Y53" i="7"/>
  <c r="Y54" i="7"/>
  <c r="Y55" i="7"/>
  <c r="Y56" i="7"/>
  <c r="Y57" i="7"/>
  <c r="Y58" i="7"/>
  <c r="Y59" i="7"/>
  <c r="Y2" i="7"/>
  <c r="AC3" i="7" l="1"/>
  <c r="AE3" i="7"/>
  <c r="AA4" i="7"/>
  <c r="AC4" i="7"/>
  <c r="AE4" i="7"/>
  <c r="AA5" i="7"/>
  <c r="AC5" i="7"/>
  <c r="AE5" i="7"/>
  <c r="AA6" i="7"/>
  <c r="AC6" i="7"/>
  <c r="AE6" i="7"/>
  <c r="AA7" i="7"/>
  <c r="AC7" i="7"/>
  <c r="AE7" i="7"/>
  <c r="AA8" i="7"/>
  <c r="AC8" i="7"/>
  <c r="AE8" i="7"/>
  <c r="AA9" i="7"/>
  <c r="AC9" i="7"/>
  <c r="AE9" i="7"/>
  <c r="AA10" i="7"/>
  <c r="AC10" i="7"/>
  <c r="AE10" i="7"/>
  <c r="AA11" i="7"/>
  <c r="AC11" i="7"/>
  <c r="AE11" i="7"/>
  <c r="AA12" i="7"/>
  <c r="AC12" i="7"/>
  <c r="AE12" i="7"/>
  <c r="AA13" i="7"/>
  <c r="AC13" i="7"/>
  <c r="AE13" i="7"/>
  <c r="AA14" i="7"/>
  <c r="AC14" i="7"/>
  <c r="AE14" i="7"/>
  <c r="AA15" i="7"/>
  <c r="AC15" i="7"/>
  <c r="AE15" i="7"/>
  <c r="AA16" i="7"/>
  <c r="AC16" i="7"/>
  <c r="AE16" i="7"/>
  <c r="AA17" i="7"/>
  <c r="AC17" i="7"/>
  <c r="AE17" i="7"/>
  <c r="AA18" i="7"/>
  <c r="AC18" i="7"/>
  <c r="AE18" i="7"/>
  <c r="AA19" i="7"/>
  <c r="AC19" i="7"/>
  <c r="AE19" i="7"/>
  <c r="AA20" i="7"/>
  <c r="AC20" i="7"/>
  <c r="AE20" i="7"/>
  <c r="AA21" i="7"/>
  <c r="AC21" i="7"/>
  <c r="AE21" i="7"/>
  <c r="AA22" i="7"/>
  <c r="AC22" i="7"/>
  <c r="AE22" i="7"/>
  <c r="AA23" i="7"/>
  <c r="AC23" i="7"/>
  <c r="AE23" i="7"/>
  <c r="AA24" i="7"/>
  <c r="AC24" i="7"/>
  <c r="AE24" i="7"/>
  <c r="AA25" i="7"/>
  <c r="AC25" i="7"/>
  <c r="AE25" i="7"/>
  <c r="AA26" i="7"/>
  <c r="AC26" i="7"/>
  <c r="AE26" i="7"/>
  <c r="AA27" i="7"/>
  <c r="AC27" i="7"/>
  <c r="AE27" i="7"/>
  <c r="AA28" i="7"/>
  <c r="AC28" i="7"/>
  <c r="AE28" i="7"/>
  <c r="AA29" i="7"/>
  <c r="AC29" i="7"/>
  <c r="AE29" i="7"/>
  <c r="AA30" i="7"/>
  <c r="AC30" i="7"/>
  <c r="AE30" i="7"/>
  <c r="AA31" i="7"/>
  <c r="AC31" i="7"/>
  <c r="AE31" i="7"/>
  <c r="AA32" i="7"/>
  <c r="AC32" i="7"/>
  <c r="AE32" i="7"/>
  <c r="AA33" i="7"/>
  <c r="AC33" i="7"/>
  <c r="AE33" i="7"/>
  <c r="AA34" i="7"/>
  <c r="AC34" i="7"/>
  <c r="AE34" i="7"/>
  <c r="AA35" i="7"/>
  <c r="AC35" i="7"/>
  <c r="AE35" i="7"/>
  <c r="AA36" i="7"/>
  <c r="AC36" i="7"/>
  <c r="AE36" i="7"/>
  <c r="AA37" i="7"/>
  <c r="AC37" i="7"/>
  <c r="AE37" i="7"/>
  <c r="AA38" i="7"/>
  <c r="AC38" i="7"/>
  <c r="AE38" i="7"/>
  <c r="AA39" i="7"/>
  <c r="AC39" i="7"/>
  <c r="AE39" i="7"/>
  <c r="AA40" i="7"/>
  <c r="AC40" i="7"/>
  <c r="AE40" i="7"/>
  <c r="AA41" i="7"/>
  <c r="AC41" i="7"/>
  <c r="AE41" i="7"/>
  <c r="AA42" i="7"/>
  <c r="AC42" i="7"/>
  <c r="AE42" i="7"/>
  <c r="AA43" i="7"/>
  <c r="AC43" i="7"/>
  <c r="AE43" i="7"/>
  <c r="AA44" i="7"/>
  <c r="AC44" i="7"/>
  <c r="AE44" i="7"/>
  <c r="AA45" i="7"/>
  <c r="AC45" i="7"/>
  <c r="AE45" i="7"/>
  <c r="AA46" i="7"/>
  <c r="AC46" i="7"/>
  <c r="AE46" i="7"/>
  <c r="AA47" i="7"/>
  <c r="AC47" i="7"/>
  <c r="AE47" i="7"/>
  <c r="AA48" i="7"/>
  <c r="AC48" i="7"/>
  <c r="AE48" i="7"/>
  <c r="AA49" i="7"/>
  <c r="AC49" i="7"/>
  <c r="AE49" i="7"/>
  <c r="AA50" i="7"/>
  <c r="AC50" i="7"/>
  <c r="AE50" i="7"/>
  <c r="AA51" i="7"/>
  <c r="AC51" i="7"/>
  <c r="AE51" i="7"/>
  <c r="AA52" i="7"/>
  <c r="AC52" i="7"/>
  <c r="AE52" i="7"/>
  <c r="AA53" i="7"/>
  <c r="AC53" i="7"/>
  <c r="AE53" i="7"/>
  <c r="AA54" i="7"/>
  <c r="AC54" i="7"/>
  <c r="AE54" i="7"/>
  <c r="AA55" i="7"/>
  <c r="AC55" i="7"/>
  <c r="AE55" i="7"/>
  <c r="AA56" i="7"/>
  <c r="AC56" i="7"/>
  <c r="AE56" i="7"/>
  <c r="AA57" i="7"/>
  <c r="AC57" i="7"/>
  <c r="AE57" i="7"/>
  <c r="AA58" i="7"/>
  <c r="AC58" i="7"/>
  <c r="AE58" i="7"/>
  <c r="AA59" i="7"/>
  <c r="AC59" i="7"/>
  <c r="AE59" i="7"/>
  <c r="AE2" i="7"/>
  <c r="AC2" i="7"/>
  <c r="AA2" i="7"/>
  <c r="AF2" i="7" s="1"/>
  <c r="A3" i="7" l="1"/>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2" i="7"/>
  <c r="W3" i="7"/>
  <c r="I3" i="7" s="1"/>
  <c r="W4" i="7"/>
  <c r="I4" i="7" s="1"/>
  <c r="W5" i="7"/>
  <c r="I5" i="7" s="1"/>
  <c r="W6" i="7"/>
  <c r="I6" i="7" s="1"/>
  <c r="W7" i="7"/>
  <c r="I7" i="7" s="1"/>
  <c r="W8" i="7"/>
  <c r="I8" i="7" s="1"/>
  <c r="W9" i="7"/>
  <c r="I9" i="7" s="1"/>
  <c r="W10" i="7"/>
  <c r="I10" i="7" s="1"/>
  <c r="W11" i="7"/>
  <c r="I11" i="7" s="1"/>
  <c r="W12" i="7"/>
  <c r="I12" i="7" s="1"/>
  <c r="W13" i="7"/>
  <c r="I13" i="7" s="1"/>
  <c r="W14" i="7"/>
  <c r="I14" i="7" s="1"/>
  <c r="W15" i="7"/>
  <c r="I15" i="7" s="1"/>
  <c r="W16" i="7"/>
  <c r="I16" i="7" s="1"/>
  <c r="W17" i="7"/>
  <c r="I17" i="7" s="1"/>
  <c r="W18" i="7"/>
  <c r="I18" i="7" s="1"/>
  <c r="W19" i="7"/>
  <c r="I19" i="7" s="1"/>
  <c r="W20" i="7"/>
  <c r="I20" i="7" s="1"/>
  <c r="W21" i="7"/>
  <c r="I21" i="7" s="1"/>
  <c r="W22" i="7"/>
  <c r="I22" i="7" s="1"/>
  <c r="W23" i="7"/>
  <c r="I23" i="7" s="1"/>
  <c r="W24" i="7"/>
  <c r="I24" i="7" s="1"/>
  <c r="W25" i="7"/>
  <c r="I25" i="7" s="1"/>
  <c r="W26" i="7"/>
  <c r="I26" i="7" s="1"/>
  <c r="W27" i="7"/>
  <c r="I27" i="7" s="1"/>
  <c r="W28" i="7"/>
  <c r="I28" i="7" s="1"/>
  <c r="W29" i="7"/>
  <c r="I29" i="7" s="1"/>
  <c r="W30" i="7"/>
  <c r="I30" i="7" s="1"/>
  <c r="W31" i="7"/>
  <c r="I31" i="7" s="1"/>
  <c r="W32" i="7"/>
  <c r="I32" i="7" s="1"/>
  <c r="W33" i="7"/>
  <c r="I33" i="7" s="1"/>
  <c r="W34" i="7"/>
  <c r="I34" i="7" s="1"/>
  <c r="W35" i="7"/>
  <c r="I35" i="7" s="1"/>
  <c r="W36" i="7"/>
  <c r="I36" i="7" s="1"/>
  <c r="W37" i="7"/>
  <c r="I37" i="7" s="1"/>
  <c r="W38" i="7"/>
  <c r="I38" i="7" s="1"/>
  <c r="W39" i="7"/>
  <c r="I39" i="7" s="1"/>
  <c r="W40" i="7"/>
  <c r="I40" i="7" s="1"/>
  <c r="W41" i="7"/>
  <c r="I41" i="7" s="1"/>
  <c r="W42" i="7"/>
  <c r="I42" i="7" s="1"/>
  <c r="W43" i="7"/>
  <c r="I43" i="7" s="1"/>
  <c r="W44" i="7"/>
  <c r="I44" i="7" s="1"/>
  <c r="W45" i="7"/>
  <c r="I45" i="7" s="1"/>
  <c r="W46" i="7"/>
  <c r="I46" i="7" s="1"/>
  <c r="W47" i="7"/>
  <c r="I47" i="7" s="1"/>
  <c r="W48" i="7"/>
  <c r="I48" i="7" s="1"/>
  <c r="W49" i="7"/>
  <c r="I49" i="7" s="1"/>
  <c r="W50" i="7"/>
  <c r="I50" i="7" s="1"/>
  <c r="W51" i="7"/>
  <c r="I51" i="7" s="1"/>
  <c r="W52" i="7"/>
  <c r="I52" i="7" s="1"/>
  <c r="W53" i="7"/>
  <c r="I53" i="7" s="1"/>
  <c r="W54" i="7"/>
  <c r="I54" i="7" s="1"/>
  <c r="W55" i="7"/>
  <c r="I55" i="7" s="1"/>
  <c r="W56" i="7"/>
  <c r="I56" i="7" s="1"/>
  <c r="W57" i="7"/>
  <c r="I57" i="7" s="1"/>
  <c r="W58" i="7"/>
  <c r="I58" i="7" s="1"/>
  <c r="W59" i="7"/>
  <c r="I59" i="7" s="1"/>
  <c r="W2" i="7"/>
  <c r="I2" i="7" s="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2" i="7"/>
  <c r="I7" i="5"/>
  <c r="B52" i="5" l="1"/>
  <c r="C52" i="5"/>
  <c r="D52" i="5"/>
  <c r="F52" i="5"/>
  <c r="G52" i="5"/>
  <c r="H52" i="5"/>
  <c r="I52" i="5"/>
  <c r="J52" i="5"/>
  <c r="K52" i="5"/>
  <c r="B53" i="5"/>
  <c r="C53" i="5"/>
  <c r="D53" i="5"/>
  <c r="E53" i="5"/>
  <c r="F53" i="5"/>
  <c r="G53" i="5"/>
  <c r="H53" i="5"/>
  <c r="I53" i="5"/>
  <c r="J53" i="5"/>
  <c r="K53" i="5"/>
  <c r="B54" i="5"/>
  <c r="C54" i="5"/>
  <c r="D54" i="5"/>
  <c r="E54" i="5"/>
  <c r="F54" i="5"/>
  <c r="G54" i="5"/>
  <c r="H54" i="5"/>
  <c r="I54" i="5"/>
  <c r="J54" i="5"/>
  <c r="K54" i="5"/>
  <c r="B55" i="5"/>
  <c r="C55" i="5"/>
  <c r="D55" i="5"/>
  <c r="E55" i="5"/>
  <c r="F55" i="5"/>
  <c r="G55" i="5"/>
  <c r="H55" i="5"/>
  <c r="I55" i="5"/>
  <c r="J55" i="5"/>
  <c r="K55" i="5"/>
  <c r="B56" i="5"/>
  <c r="C56" i="5"/>
  <c r="D56" i="5"/>
  <c r="E56" i="5"/>
  <c r="F56" i="5"/>
  <c r="G56" i="5"/>
  <c r="H56" i="5"/>
  <c r="I56" i="5"/>
  <c r="J56" i="5"/>
  <c r="K56" i="5"/>
  <c r="B57" i="5"/>
  <c r="C57" i="5"/>
  <c r="D57" i="5"/>
  <c r="E57" i="5"/>
  <c r="F57" i="5"/>
  <c r="G57" i="5"/>
  <c r="H57" i="5"/>
  <c r="I57" i="5"/>
  <c r="J57" i="5"/>
  <c r="K57" i="5"/>
  <c r="B58" i="5"/>
  <c r="C58" i="5"/>
  <c r="D58" i="5"/>
  <c r="E58" i="5"/>
  <c r="F58" i="5"/>
  <c r="G58" i="5"/>
  <c r="H58" i="5"/>
  <c r="I58" i="5"/>
  <c r="J58" i="5"/>
  <c r="K58" i="5"/>
  <c r="B59" i="5"/>
  <c r="C59" i="5"/>
  <c r="D59" i="5"/>
  <c r="E59" i="5"/>
  <c r="F59" i="5"/>
  <c r="G59" i="5"/>
  <c r="H59" i="5"/>
  <c r="I59" i="5"/>
  <c r="J59" i="5"/>
  <c r="K59" i="5"/>
  <c r="B48" i="5"/>
  <c r="C48" i="5"/>
  <c r="D48" i="5"/>
  <c r="E48" i="5"/>
  <c r="F48" i="5"/>
  <c r="G48" i="5"/>
  <c r="H48" i="5"/>
  <c r="I48" i="5"/>
  <c r="J48" i="5"/>
  <c r="K48" i="5"/>
  <c r="B49" i="5"/>
  <c r="C49" i="5"/>
  <c r="D49" i="5"/>
  <c r="E49" i="5"/>
  <c r="F49" i="5"/>
  <c r="G49" i="5"/>
  <c r="H49" i="5"/>
  <c r="I49" i="5"/>
  <c r="J49" i="5"/>
  <c r="K49" i="5"/>
  <c r="B50" i="5"/>
  <c r="C50" i="5"/>
  <c r="D50" i="5"/>
  <c r="E50" i="5"/>
  <c r="F50" i="5"/>
  <c r="G50" i="5"/>
  <c r="H50" i="5"/>
  <c r="I50" i="5"/>
  <c r="J50" i="5"/>
  <c r="K50" i="5"/>
  <c r="B51" i="5"/>
  <c r="C51" i="5"/>
  <c r="D51" i="5"/>
  <c r="F51" i="5"/>
  <c r="G51" i="5"/>
  <c r="H51" i="5"/>
  <c r="I51" i="5"/>
  <c r="J51" i="5"/>
  <c r="K51" i="5"/>
  <c r="B40" i="5"/>
  <c r="C40" i="5"/>
  <c r="D40" i="5"/>
  <c r="E40" i="5"/>
  <c r="F40" i="5"/>
  <c r="G40" i="5"/>
  <c r="H40" i="5"/>
  <c r="I40" i="5"/>
  <c r="J40" i="5"/>
  <c r="K40" i="5"/>
  <c r="B41" i="5"/>
  <c r="C41" i="5"/>
  <c r="D41" i="5"/>
  <c r="E41" i="5"/>
  <c r="F41" i="5"/>
  <c r="G41" i="5"/>
  <c r="H41" i="5"/>
  <c r="I41" i="5"/>
  <c r="J41" i="5"/>
  <c r="K41" i="5"/>
  <c r="B42" i="5"/>
  <c r="C42" i="5"/>
  <c r="D42" i="5"/>
  <c r="E42" i="5"/>
  <c r="F42" i="5"/>
  <c r="G42" i="5"/>
  <c r="H42" i="5"/>
  <c r="I42" i="5"/>
  <c r="J42" i="5"/>
  <c r="K42" i="5"/>
  <c r="B43" i="5"/>
  <c r="C43" i="5"/>
  <c r="D43" i="5"/>
  <c r="E43" i="5"/>
  <c r="F43" i="5"/>
  <c r="G43" i="5"/>
  <c r="H43" i="5"/>
  <c r="I43" i="5"/>
  <c r="J43" i="5"/>
  <c r="K43" i="5"/>
  <c r="B44" i="5"/>
  <c r="C44" i="5"/>
  <c r="D44" i="5"/>
  <c r="E44" i="5"/>
  <c r="F44" i="5"/>
  <c r="G44" i="5"/>
  <c r="H44" i="5"/>
  <c r="I44" i="5"/>
  <c r="J44" i="5"/>
  <c r="K44" i="5"/>
  <c r="B45" i="5"/>
  <c r="C45" i="5"/>
  <c r="D45" i="5"/>
  <c r="E45" i="5"/>
  <c r="F45" i="5"/>
  <c r="G45" i="5"/>
  <c r="H45" i="5"/>
  <c r="I45" i="5"/>
  <c r="J45" i="5"/>
  <c r="K45" i="5"/>
  <c r="B46" i="5"/>
  <c r="C46" i="5"/>
  <c r="D46" i="5"/>
  <c r="E46" i="5"/>
  <c r="F46" i="5"/>
  <c r="G46" i="5"/>
  <c r="H46" i="5"/>
  <c r="I46" i="5"/>
  <c r="J46" i="5"/>
  <c r="K46" i="5"/>
  <c r="B47" i="5"/>
  <c r="C47" i="5"/>
  <c r="D47" i="5"/>
  <c r="F47" i="5"/>
  <c r="G47" i="5"/>
  <c r="H47" i="5"/>
  <c r="I47" i="5"/>
  <c r="J47" i="5"/>
  <c r="K47" i="5"/>
  <c r="B33" i="5"/>
  <c r="C33" i="5"/>
  <c r="D33" i="5"/>
  <c r="E33" i="5"/>
  <c r="F33" i="5"/>
  <c r="G33" i="5"/>
  <c r="H33" i="5"/>
  <c r="I33" i="5"/>
  <c r="J33" i="5"/>
  <c r="K33" i="5"/>
  <c r="B34" i="5"/>
  <c r="C34" i="5"/>
  <c r="D34" i="5"/>
  <c r="E34" i="5"/>
  <c r="F34" i="5"/>
  <c r="G34" i="5"/>
  <c r="H34" i="5"/>
  <c r="I34" i="5"/>
  <c r="J34" i="5"/>
  <c r="K34" i="5"/>
  <c r="B35" i="5"/>
  <c r="C35" i="5"/>
  <c r="D35" i="5"/>
  <c r="E35" i="5"/>
  <c r="F35" i="5"/>
  <c r="G35" i="5"/>
  <c r="H35" i="5"/>
  <c r="I35" i="5"/>
  <c r="J35" i="5"/>
  <c r="K35" i="5"/>
  <c r="B36" i="5"/>
  <c r="C36" i="5"/>
  <c r="D36" i="5"/>
  <c r="E36" i="5"/>
  <c r="F36" i="5"/>
  <c r="G36" i="5"/>
  <c r="H36" i="5"/>
  <c r="I36" i="5"/>
  <c r="J36" i="5"/>
  <c r="K36" i="5"/>
  <c r="B37" i="5"/>
  <c r="C37" i="5"/>
  <c r="D37" i="5"/>
  <c r="E37" i="5"/>
  <c r="F37" i="5"/>
  <c r="G37" i="5"/>
  <c r="H37" i="5"/>
  <c r="I37" i="5"/>
  <c r="J37" i="5"/>
  <c r="K37" i="5"/>
  <c r="B38" i="5"/>
  <c r="C38" i="5"/>
  <c r="D38" i="5"/>
  <c r="E38" i="5"/>
  <c r="F38" i="5"/>
  <c r="G38" i="5"/>
  <c r="H38" i="5"/>
  <c r="I38" i="5"/>
  <c r="J38" i="5"/>
  <c r="K38" i="5"/>
  <c r="B39" i="5"/>
  <c r="C39" i="5"/>
  <c r="D39" i="5"/>
  <c r="E39" i="5"/>
  <c r="F39" i="5"/>
  <c r="G39" i="5"/>
  <c r="H39" i="5"/>
  <c r="I39" i="5"/>
  <c r="J39" i="5"/>
  <c r="K39" i="5"/>
  <c r="B18" i="5"/>
  <c r="C18" i="5"/>
  <c r="D18" i="5"/>
  <c r="E18" i="5"/>
  <c r="F18" i="5"/>
  <c r="G18" i="5"/>
  <c r="H18" i="5"/>
  <c r="I18" i="5"/>
  <c r="J18" i="5"/>
  <c r="K18" i="5"/>
  <c r="B19" i="5"/>
  <c r="C19" i="5"/>
  <c r="D19" i="5"/>
  <c r="E19" i="5"/>
  <c r="F19" i="5"/>
  <c r="G19" i="5"/>
  <c r="H19" i="5"/>
  <c r="I19" i="5"/>
  <c r="J19" i="5"/>
  <c r="K19" i="5"/>
  <c r="B20" i="5"/>
  <c r="C20" i="5"/>
  <c r="D20" i="5"/>
  <c r="E20" i="5"/>
  <c r="F20" i="5"/>
  <c r="G20" i="5"/>
  <c r="H20" i="5"/>
  <c r="I20" i="5"/>
  <c r="J20" i="5"/>
  <c r="K20" i="5"/>
  <c r="B21" i="5"/>
  <c r="C21" i="5"/>
  <c r="D21" i="5"/>
  <c r="E21" i="5"/>
  <c r="F21" i="5"/>
  <c r="G21" i="5"/>
  <c r="H21" i="5"/>
  <c r="I21" i="5"/>
  <c r="J21" i="5"/>
  <c r="K21" i="5"/>
  <c r="B22" i="5"/>
  <c r="C22" i="5"/>
  <c r="D22" i="5"/>
  <c r="E22" i="5"/>
  <c r="F22" i="5"/>
  <c r="G22" i="5"/>
  <c r="H22" i="5"/>
  <c r="I22" i="5"/>
  <c r="J22" i="5"/>
  <c r="K22" i="5"/>
  <c r="B23" i="5"/>
  <c r="C23" i="5"/>
  <c r="D23" i="5"/>
  <c r="E23" i="5"/>
  <c r="F23" i="5"/>
  <c r="G23" i="5"/>
  <c r="H23" i="5"/>
  <c r="I23" i="5"/>
  <c r="J23" i="5"/>
  <c r="K23" i="5"/>
  <c r="B24" i="5"/>
  <c r="C24" i="5"/>
  <c r="D24" i="5"/>
  <c r="E24" i="5"/>
  <c r="F24" i="5"/>
  <c r="G24" i="5"/>
  <c r="H24" i="5"/>
  <c r="I24" i="5"/>
  <c r="J24" i="5"/>
  <c r="K24" i="5"/>
  <c r="B25" i="5"/>
  <c r="C25" i="5"/>
  <c r="D25" i="5"/>
  <c r="E25" i="5"/>
  <c r="F25" i="5"/>
  <c r="G25" i="5"/>
  <c r="H25" i="5"/>
  <c r="I25" i="5"/>
  <c r="J25" i="5"/>
  <c r="K25" i="5"/>
  <c r="B26" i="5"/>
  <c r="C26" i="5"/>
  <c r="D26" i="5"/>
  <c r="E26" i="5"/>
  <c r="F26" i="5"/>
  <c r="G26" i="5"/>
  <c r="H26" i="5"/>
  <c r="I26" i="5"/>
  <c r="J26" i="5"/>
  <c r="K26" i="5"/>
  <c r="B27" i="5"/>
  <c r="C27" i="5"/>
  <c r="D27" i="5"/>
  <c r="E27" i="5"/>
  <c r="F27" i="5"/>
  <c r="G27" i="5"/>
  <c r="H27" i="5"/>
  <c r="I27" i="5"/>
  <c r="J27" i="5"/>
  <c r="K27" i="5"/>
  <c r="B28" i="5"/>
  <c r="C28" i="5"/>
  <c r="D28" i="5"/>
  <c r="E28" i="5"/>
  <c r="F28" i="5"/>
  <c r="G28" i="5"/>
  <c r="H28" i="5"/>
  <c r="I28" i="5"/>
  <c r="J28" i="5"/>
  <c r="K28" i="5"/>
  <c r="B29" i="5"/>
  <c r="C29" i="5"/>
  <c r="D29" i="5"/>
  <c r="E29" i="5"/>
  <c r="F29" i="5"/>
  <c r="G29" i="5"/>
  <c r="H29" i="5"/>
  <c r="I29" i="5"/>
  <c r="J29" i="5"/>
  <c r="K29" i="5"/>
  <c r="B30" i="5"/>
  <c r="C30" i="5"/>
  <c r="D30" i="5"/>
  <c r="E30" i="5"/>
  <c r="F30" i="5"/>
  <c r="G30" i="5"/>
  <c r="H30" i="5"/>
  <c r="I30" i="5"/>
  <c r="J30" i="5"/>
  <c r="K30" i="5"/>
  <c r="B31" i="5"/>
  <c r="C31" i="5"/>
  <c r="D31" i="5"/>
  <c r="E31" i="5"/>
  <c r="F31" i="5"/>
  <c r="G31" i="5"/>
  <c r="H31" i="5"/>
  <c r="I31" i="5"/>
  <c r="J31" i="5"/>
  <c r="K31" i="5"/>
  <c r="B32" i="5"/>
  <c r="C32" i="5"/>
  <c r="D32" i="5"/>
  <c r="E32" i="5"/>
  <c r="F32" i="5"/>
  <c r="G32" i="5"/>
  <c r="H32" i="5"/>
  <c r="I32" i="5"/>
  <c r="J32" i="5"/>
  <c r="K32" i="5"/>
  <c r="B3" i="5"/>
  <c r="C3" i="5"/>
  <c r="D3" i="5"/>
  <c r="E3" i="5"/>
  <c r="F3" i="5"/>
  <c r="G3" i="5"/>
  <c r="H3" i="5"/>
  <c r="I3" i="5"/>
  <c r="J3" i="5"/>
  <c r="K3" i="5"/>
  <c r="B4" i="5"/>
  <c r="C4" i="5"/>
  <c r="D4" i="5"/>
  <c r="E4" i="5"/>
  <c r="F4" i="5"/>
  <c r="G4" i="5"/>
  <c r="H4" i="5"/>
  <c r="I4" i="5"/>
  <c r="J4" i="5"/>
  <c r="K4" i="5"/>
  <c r="B5" i="5"/>
  <c r="C5" i="5"/>
  <c r="D5" i="5"/>
  <c r="E5" i="5"/>
  <c r="F5" i="5"/>
  <c r="G5" i="5"/>
  <c r="H5" i="5"/>
  <c r="I5" i="5"/>
  <c r="J5" i="5"/>
  <c r="K5" i="5"/>
  <c r="B6" i="5"/>
  <c r="C6" i="5"/>
  <c r="D6" i="5"/>
  <c r="E6" i="5"/>
  <c r="F6" i="5"/>
  <c r="G6" i="5"/>
  <c r="H6" i="5"/>
  <c r="I6" i="5"/>
  <c r="J6" i="5"/>
  <c r="K6" i="5"/>
  <c r="B7" i="5"/>
  <c r="C7" i="5"/>
  <c r="D7" i="5"/>
  <c r="F7" i="5"/>
  <c r="G7" i="5"/>
  <c r="H7" i="5"/>
  <c r="J7" i="5"/>
  <c r="K7" i="5"/>
  <c r="B8" i="5"/>
  <c r="C8" i="5"/>
  <c r="D8" i="5"/>
  <c r="E8" i="5"/>
  <c r="F8" i="5"/>
  <c r="G8" i="5"/>
  <c r="H8" i="5"/>
  <c r="I8" i="5"/>
  <c r="J8" i="5"/>
  <c r="K8" i="5"/>
  <c r="B9" i="5"/>
  <c r="C9" i="5"/>
  <c r="D9" i="5"/>
  <c r="E9" i="5"/>
  <c r="F9" i="5"/>
  <c r="G9" i="5"/>
  <c r="H9" i="5"/>
  <c r="I9" i="5"/>
  <c r="J9" i="5"/>
  <c r="K9" i="5"/>
  <c r="B10" i="5"/>
  <c r="C10" i="5"/>
  <c r="D10" i="5"/>
  <c r="E10" i="5"/>
  <c r="F10" i="5"/>
  <c r="G10" i="5"/>
  <c r="H10" i="5"/>
  <c r="I10" i="5"/>
  <c r="J10" i="5"/>
  <c r="K10" i="5"/>
  <c r="B11" i="5"/>
  <c r="C11" i="5"/>
  <c r="D11" i="5"/>
  <c r="E11" i="5"/>
  <c r="F11" i="5"/>
  <c r="G11" i="5"/>
  <c r="H11" i="5"/>
  <c r="I11" i="5"/>
  <c r="J11" i="5"/>
  <c r="K11" i="5"/>
  <c r="B12" i="5"/>
  <c r="C12" i="5"/>
  <c r="D12" i="5"/>
  <c r="E12" i="5"/>
  <c r="F12" i="5"/>
  <c r="G12" i="5"/>
  <c r="H12" i="5"/>
  <c r="I12" i="5"/>
  <c r="J12" i="5"/>
  <c r="K12" i="5"/>
  <c r="B13" i="5"/>
  <c r="C13" i="5"/>
  <c r="D13" i="5"/>
  <c r="E13" i="5"/>
  <c r="F13" i="5"/>
  <c r="G13" i="5"/>
  <c r="H13" i="5"/>
  <c r="I13" i="5"/>
  <c r="J13" i="5"/>
  <c r="K13" i="5"/>
  <c r="B14" i="5"/>
  <c r="C14" i="5"/>
  <c r="D14" i="5"/>
  <c r="E14" i="5"/>
  <c r="F14" i="5"/>
  <c r="G14" i="5"/>
  <c r="H14" i="5"/>
  <c r="I14" i="5"/>
  <c r="J14" i="5"/>
  <c r="K14" i="5"/>
  <c r="B15" i="5"/>
  <c r="C15" i="5"/>
  <c r="D15" i="5"/>
  <c r="E15" i="5"/>
  <c r="F15" i="5"/>
  <c r="G15" i="5"/>
  <c r="H15" i="5"/>
  <c r="I15" i="5"/>
  <c r="J15" i="5"/>
  <c r="K15" i="5"/>
  <c r="B16" i="5"/>
  <c r="C16" i="5"/>
  <c r="D16" i="5"/>
  <c r="E16" i="5"/>
  <c r="F16" i="5"/>
  <c r="G16" i="5"/>
  <c r="H16" i="5"/>
  <c r="I16" i="5"/>
  <c r="J16" i="5"/>
  <c r="K16" i="5"/>
  <c r="B17" i="5"/>
  <c r="C17" i="5"/>
  <c r="D17" i="5"/>
  <c r="E17" i="5"/>
  <c r="F17" i="5"/>
  <c r="G17" i="5"/>
  <c r="H17" i="5"/>
  <c r="I17" i="5"/>
  <c r="J17" i="5"/>
  <c r="K17" i="5"/>
  <c r="K2" i="5"/>
  <c r="K93" i="6"/>
  <c r="L59" i="5" s="1"/>
  <c r="K92" i="6"/>
  <c r="L58" i="5" s="1"/>
  <c r="K91" i="6"/>
  <c r="K88" i="6"/>
  <c r="K87" i="6"/>
  <c r="L57" i="5" s="1"/>
  <c r="K86" i="6"/>
  <c r="L56" i="5" s="1"/>
  <c r="K85" i="6"/>
  <c r="L55" i="5" s="1"/>
  <c r="K84" i="6"/>
  <c r="L54" i="5" s="1"/>
  <c r="K83" i="6"/>
  <c r="L53" i="5" s="1"/>
  <c r="K82" i="6"/>
  <c r="L52" i="5" s="1"/>
  <c r="K81" i="6"/>
  <c r="L51" i="5" s="1"/>
  <c r="K80" i="6"/>
  <c r="L50" i="5" s="1"/>
  <c r="K79" i="6"/>
  <c r="K78" i="6"/>
  <c r="L49" i="5" s="1"/>
  <c r="K77" i="6"/>
  <c r="L48" i="5" s="1"/>
  <c r="K71" i="6"/>
  <c r="K70" i="6"/>
  <c r="L47" i="5" s="1"/>
  <c r="K69" i="6"/>
  <c r="L46" i="5" s="1"/>
  <c r="K68" i="6"/>
  <c r="L45" i="5" s="1"/>
  <c r="K67" i="6"/>
  <c r="L44" i="5" s="1"/>
  <c r="K66" i="6"/>
  <c r="L43" i="5" s="1"/>
  <c r="K65" i="6"/>
  <c r="L42" i="5" s="1"/>
  <c r="K59" i="6"/>
  <c r="L41" i="5" s="1"/>
  <c r="K58" i="6"/>
  <c r="K57" i="6"/>
  <c r="L40" i="5" s="1"/>
  <c r="K56" i="6"/>
  <c r="L39" i="5" s="1"/>
  <c r="K55" i="6"/>
  <c r="K54" i="6"/>
  <c r="L38" i="5" s="1"/>
  <c r="K53" i="6"/>
  <c r="L37" i="5" s="1"/>
  <c r="K52" i="6"/>
  <c r="L36" i="5" s="1"/>
  <c r="K51" i="6"/>
  <c r="L35" i="5" s="1"/>
  <c r="K50" i="6"/>
  <c r="L34" i="5" s="1"/>
  <c r="K44" i="6"/>
  <c r="L33" i="5" s="1"/>
  <c r="K43" i="6"/>
  <c r="L32" i="5" s="1"/>
  <c r="K42" i="6"/>
  <c r="L31" i="5" s="1"/>
  <c r="K41" i="6"/>
  <c r="L30" i="5" s="1"/>
  <c r="K40" i="6"/>
  <c r="K39" i="6"/>
  <c r="L29" i="5" s="1"/>
  <c r="K38" i="6"/>
  <c r="K37" i="6"/>
  <c r="L28" i="5" s="1"/>
  <c r="K36" i="6"/>
  <c r="L27" i="5" s="1"/>
  <c r="K35" i="6"/>
  <c r="L26" i="5" s="1"/>
  <c r="K34" i="6"/>
  <c r="L25" i="5" s="1"/>
  <c r="K33" i="6"/>
  <c r="L24" i="5" s="1"/>
  <c r="K32" i="6"/>
  <c r="L23" i="5" s="1"/>
  <c r="K31" i="6"/>
  <c r="L22" i="5" s="1"/>
  <c r="K30" i="6"/>
  <c r="L21" i="5" s="1"/>
  <c r="K29" i="6"/>
  <c r="L20" i="5" s="1"/>
  <c r="K28" i="6"/>
  <c r="L19" i="5" s="1"/>
  <c r="K27" i="6"/>
  <c r="L18" i="5" s="1"/>
  <c r="K26" i="6"/>
  <c r="L17" i="5" s="1"/>
  <c r="K25" i="6"/>
  <c r="L16" i="5" s="1"/>
  <c r="K19" i="6"/>
  <c r="L15" i="5" s="1"/>
  <c r="K18" i="6"/>
  <c r="L14" i="5" s="1"/>
  <c r="K17" i="6"/>
  <c r="K16" i="6"/>
  <c r="K15" i="6"/>
  <c r="L13" i="5" s="1"/>
  <c r="K14" i="6"/>
  <c r="L12" i="5" s="1"/>
  <c r="K13" i="6"/>
  <c r="L11" i="5" s="1"/>
  <c r="K12" i="6"/>
  <c r="L10" i="5" s="1"/>
  <c r="K11" i="6"/>
  <c r="L9" i="5" s="1"/>
  <c r="K10" i="6"/>
  <c r="L8" i="5" s="1"/>
  <c r="K9" i="6"/>
  <c r="L7" i="5" s="1"/>
  <c r="K8" i="6"/>
  <c r="L6" i="5" s="1"/>
  <c r="K7" i="6"/>
  <c r="L5" i="5" s="1"/>
  <c r="K6" i="6"/>
  <c r="L4" i="5" s="1"/>
  <c r="K5" i="6"/>
  <c r="L3" i="5" s="1"/>
  <c r="K4" i="6"/>
  <c r="L2" i="5" s="1"/>
  <c r="C2" i="5"/>
  <c r="D2" i="5"/>
  <c r="E2" i="5"/>
  <c r="F2" i="5"/>
  <c r="G2" i="5"/>
  <c r="H2" i="5"/>
  <c r="I2" i="5"/>
  <c r="J2" i="5"/>
  <c r="B2" i="5"/>
  <c r="H2" i="3"/>
  <c r="K71" i="1" l="1"/>
  <c r="K79" i="1"/>
  <c r="K88" i="1"/>
  <c r="B59" i="3"/>
  <c r="C59" i="3"/>
  <c r="D59" i="3"/>
  <c r="E59" i="3"/>
  <c r="F59" i="3"/>
  <c r="G59" i="3"/>
  <c r="H59" i="3"/>
  <c r="I59" i="3"/>
  <c r="J59" i="3"/>
  <c r="K59" i="3"/>
  <c r="B60" i="3"/>
  <c r="C60" i="3"/>
  <c r="D60" i="3"/>
  <c r="E60" i="3"/>
  <c r="F60" i="3"/>
  <c r="G60" i="3"/>
  <c r="H60" i="3"/>
  <c r="I60" i="3"/>
  <c r="J60" i="3"/>
  <c r="K60" i="3"/>
  <c r="C58" i="3"/>
  <c r="D58" i="3"/>
  <c r="E58" i="3"/>
  <c r="F58" i="3"/>
  <c r="G58" i="3"/>
  <c r="H58" i="3"/>
  <c r="I58" i="3"/>
  <c r="J58" i="3"/>
  <c r="K58" i="3"/>
  <c r="B58" i="3"/>
  <c r="B56" i="3"/>
  <c r="C56" i="3"/>
  <c r="D56" i="3"/>
  <c r="E56" i="3"/>
  <c r="F56" i="3"/>
  <c r="G56" i="3"/>
  <c r="H56" i="3"/>
  <c r="I56" i="3"/>
  <c r="J56" i="3"/>
  <c r="K56" i="3"/>
  <c r="B57" i="3"/>
  <c r="C57" i="3"/>
  <c r="D57" i="3"/>
  <c r="E57" i="3"/>
  <c r="F57" i="3"/>
  <c r="G57" i="3"/>
  <c r="H57" i="3"/>
  <c r="I57" i="3"/>
  <c r="J57" i="3"/>
  <c r="K57" i="3"/>
  <c r="B49" i="3"/>
  <c r="C49" i="3"/>
  <c r="D49" i="3"/>
  <c r="E49" i="3"/>
  <c r="F49" i="3"/>
  <c r="G49" i="3"/>
  <c r="H49" i="3"/>
  <c r="I49" i="3"/>
  <c r="J49" i="3"/>
  <c r="K49" i="3"/>
  <c r="B50" i="3"/>
  <c r="C50" i="3"/>
  <c r="D50" i="3"/>
  <c r="E50" i="3"/>
  <c r="F50" i="3"/>
  <c r="G50" i="3"/>
  <c r="H50" i="3"/>
  <c r="I50" i="3"/>
  <c r="J50" i="3"/>
  <c r="K50" i="3"/>
  <c r="B51" i="3"/>
  <c r="C51" i="3"/>
  <c r="D51" i="3"/>
  <c r="E51" i="3"/>
  <c r="F51" i="3"/>
  <c r="G51" i="3"/>
  <c r="H51" i="3"/>
  <c r="I51" i="3"/>
  <c r="J51" i="3"/>
  <c r="K51" i="3"/>
  <c r="B52" i="3"/>
  <c r="C52" i="3"/>
  <c r="D52" i="3"/>
  <c r="E52" i="3"/>
  <c r="F52" i="3"/>
  <c r="G52" i="3"/>
  <c r="H52" i="3"/>
  <c r="I52" i="3"/>
  <c r="J52" i="3"/>
  <c r="K52" i="3"/>
  <c r="B53" i="3"/>
  <c r="C53" i="3"/>
  <c r="D53" i="3"/>
  <c r="E53" i="3"/>
  <c r="F53" i="3"/>
  <c r="G53" i="3"/>
  <c r="H53" i="3"/>
  <c r="I53" i="3"/>
  <c r="J53" i="3"/>
  <c r="K53" i="3"/>
  <c r="B54" i="3"/>
  <c r="C54" i="3"/>
  <c r="D54" i="3"/>
  <c r="E54" i="3"/>
  <c r="F54" i="3"/>
  <c r="G54" i="3"/>
  <c r="H54" i="3"/>
  <c r="I54" i="3"/>
  <c r="J54" i="3"/>
  <c r="K54" i="3"/>
  <c r="B55" i="3"/>
  <c r="C55" i="3"/>
  <c r="D55" i="3"/>
  <c r="E55" i="3"/>
  <c r="F55" i="3"/>
  <c r="G55" i="3"/>
  <c r="H55" i="3"/>
  <c r="I55" i="3"/>
  <c r="J55" i="3"/>
  <c r="K55" i="3"/>
  <c r="C48" i="3"/>
  <c r="D48" i="3"/>
  <c r="E48" i="3"/>
  <c r="F48" i="3"/>
  <c r="G48" i="3"/>
  <c r="H48" i="3"/>
  <c r="I48" i="3"/>
  <c r="J48" i="3"/>
  <c r="K48" i="3"/>
  <c r="B48" i="3"/>
  <c r="B43" i="3"/>
  <c r="C43" i="3"/>
  <c r="D43" i="3"/>
  <c r="E43" i="3"/>
  <c r="F43" i="3"/>
  <c r="G43" i="3"/>
  <c r="H43" i="3"/>
  <c r="I43" i="3"/>
  <c r="J43" i="3"/>
  <c r="K43" i="3"/>
  <c r="B44" i="3"/>
  <c r="C44" i="3"/>
  <c r="D44" i="3"/>
  <c r="E44" i="3"/>
  <c r="F44" i="3"/>
  <c r="G44" i="3"/>
  <c r="H44" i="3"/>
  <c r="I44" i="3"/>
  <c r="J44" i="3"/>
  <c r="K44" i="3"/>
  <c r="B45" i="3"/>
  <c r="C45" i="3"/>
  <c r="D45" i="3"/>
  <c r="E45" i="3"/>
  <c r="F45" i="3"/>
  <c r="G45" i="3"/>
  <c r="H45" i="3"/>
  <c r="I45" i="3"/>
  <c r="J45" i="3"/>
  <c r="K45" i="3"/>
  <c r="B46" i="3"/>
  <c r="C46" i="3"/>
  <c r="D46" i="3"/>
  <c r="E46" i="3"/>
  <c r="F46" i="3"/>
  <c r="G46" i="3"/>
  <c r="H46" i="3"/>
  <c r="I46" i="3"/>
  <c r="J46" i="3"/>
  <c r="K46" i="3"/>
  <c r="B47" i="3"/>
  <c r="C47" i="3"/>
  <c r="D47" i="3"/>
  <c r="E47" i="3"/>
  <c r="F47" i="3"/>
  <c r="G47" i="3"/>
  <c r="H47" i="3"/>
  <c r="I47" i="3"/>
  <c r="J47" i="3"/>
  <c r="K47" i="3"/>
  <c r="C42" i="3"/>
  <c r="D42" i="3"/>
  <c r="E42" i="3"/>
  <c r="F42" i="3"/>
  <c r="G42" i="3"/>
  <c r="H42" i="3"/>
  <c r="I42" i="3"/>
  <c r="J42" i="3"/>
  <c r="K42" i="3"/>
  <c r="B42" i="3"/>
  <c r="B37" i="3"/>
  <c r="C37" i="3"/>
  <c r="D37" i="3"/>
  <c r="E37" i="3"/>
  <c r="F37" i="3"/>
  <c r="G37" i="3"/>
  <c r="H37" i="3"/>
  <c r="I37" i="3"/>
  <c r="J37" i="3"/>
  <c r="K37" i="3"/>
  <c r="B38" i="3"/>
  <c r="C38" i="3"/>
  <c r="D38" i="3"/>
  <c r="E38" i="3"/>
  <c r="F38" i="3"/>
  <c r="G38" i="3"/>
  <c r="H38" i="3"/>
  <c r="I38" i="3"/>
  <c r="J38" i="3"/>
  <c r="K38" i="3"/>
  <c r="B39" i="3"/>
  <c r="C39" i="3"/>
  <c r="D39" i="3"/>
  <c r="E39" i="3"/>
  <c r="F39" i="3"/>
  <c r="G39" i="3"/>
  <c r="H39" i="3"/>
  <c r="I39" i="3"/>
  <c r="J39" i="3"/>
  <c r="K39" i="3"/>
  <c r="B40" i="3"/>
  <c r="C40" i="3"/>
  <c r="D40" i="3"/>
  <c r="E40" i="3"/>
  <c r="F40" i="3"/>
  <c r="G40" i="3"/>
  <c r="H40" i="3"/>
  <c r="I40" i="3"/>
  <c r="J40" i="3"/>
  <c r="K40" i="3"/>
  <c r="B41" i="3"/>
  <c r="C41" i="3"/>
  <c r="D41" i="3"/>
  <c r="E41" i="3"/>
  <c r="F41" i="3"/>
  <c r="G41" i="3"/>
  <c r="H41" i="3"/>
  <c r="I41" i="3"/>
  <c r="J41" i="3"/>
  <c r="K41" i="3"/>
  <c r="B35" i="3"/>
  <c r="C35" i="3"/>
  <c r="D35" i="3"/>
  <c r="E35" i="3"/>
  <c r="F35" i="3"/>
  <c r="G35" i="3"/>
  <c r="H35" i="3"/>
  <c r="I35" i="3"/>
  <c r="J35" i="3"/>
  <c r="K35" i="3"/>
  <c r="B36" i="3"/>
  <c r="C36" i="3"/>
  <c r="D36" i="3"/>
  <c r="E36" i="3"/>
  <c r="F36" i="3"/>
  <c r="G36" i="3"/>
  <c r="H36" i="3"/>
  <c r="I36" i="3"/>
  <c r="J36" i="3"/>
  <c r="K36" i="3"/>
  <c r="C34" i="3"/>
  <c r="D34" i="3"/>
  <c r="E34" i="3"/>
  <c r="F34" i="3"/>
  <c r="G34" i="3"/>
  <c r="H34" i="3"/>
  <c r="I34" i="3"/>
  <c r="J34" i="3"/>
  <c r="K34" i="3"/>
  <c r="B34" i="3"/>
  <c r="B31" i="3"/>
  <c r="C31" i="3"/>
  <c r="D31" i="3"/>
  <c r="E31" i="3"/>
  <c r="F31" i="3"/>
  <c r="G31" i="3"/>
  <c r="H31" i="3"/>
  <c r="I31" i="3"/>
  <c r="J31" i="3"/>
  <c r="K31" i="3"/>
  <c r="B32" i="3"/>
  <c r="C32" i="3"/>
  <c r="D32" i="3"/>
  <c r="E32" i="3"/>
  <c r="F32" i="3"/>
  <c r="G32" i="3"/>
  <c r="H32" i="3"/>
  <c r="I32" i="3"/>
  <c r="J32" i="3"/>
  <c r="K32" i="3"/>
  <c r="B33" i="3"/>
  <c r="C33" i="3"/>
  <c r="D33" i="3"/>
  <c r="E33" i="3"/>
  <c r="F33" i="3"/>
  <c r="G33" i="3"/>
  <c r="H33" i="3"/>
  <c r="I33" i="3"/>
  <c r="J33" i="3"/>
  <c r="K33" i="3"/>
  <c r="B27" i="3"/>
  <c r="C27" i="3"/>
  <c r="D27" i="3"/>
  <c r="E27" i="3"/>
  <c r="F27" i="3"/>
  <c r="G27" i="3"/>
  <c r="H27" i="3"/>
  <c r="I27" i="3"/>
  <c r="J27" i="3"/>
  <c r="K27" i="3"/>
  <c r="B28" i="3"/>
  <c r="C28" i="3"/>
  <c r="D28" i="3"/>
  <c r="E28" i="3"/>
  <c r="F28" i="3"/>
  <c r="G28" i="3"/>
  <c r="H28" i="3"/>
  <c r="I28" i="3"/>
  <c r="J28" i="3"/>
  <c r="K28" i="3"/>
  <c r="B29" i="3"/>
  <c r="C29" i="3"/>
  <c r="D29" i="3"/>
  <c r="E29" i="3"/>
  <c r="F29" i="3"/>
  <c r="G29" i="3"/>
  <c r="H29" i="3"/>
  <c r="I29" i="3"/>
  <c r="J29" i="3"/>
  <c r="K29" i="3"/>
  <c r="B30" i="3"/>
  <c r="C30" i="3"/>
  <c r="D30" i="3"/>
  <c r="E30" i="3"/>
  <c r="F30" i="3"/>
  <c r="G30" i="3"/>
  <c r="H30" i="3"/>
  <c r="I30" i="3"/>
  <c r="J30" i="3"/>
  <c r="K30" i="3"/>
  <c r="B20" i="3"/>
  <c r="C20" i="3"/>
  <c r="D20" i="3"/>
  <c r="E20" i="3"/>
  <c r="F20" i="3"/>
  <c r="G20" i="3"/>
  <c r="H20" i="3"/>
  <c r="I20" i="3"/>
  <c r="J20" i="3"/>
  <c r="K20" i="3"/>
  <c r="B21" i="3"/>
  <c r="C21" i="3"/>
  <c r="D21" i="3"/>
  <c r="E21" i="3"/>
  <c r="F21" i="3"/>
  <c r="G21" i="3"/>
  <c r="H21" i="3"/>
  <c r="I21" i="3"/>
  <c r="J21" i="3"/>
  <c r="K21" i="3"/>
  <c r="B22" i="3"/>
  <c r="C22" i="3"/>
  <c r="D22" i="3"/>
  <c r="E22" i="3"/>
  <c r="F22" i="3"/>
  <c r="G22" i="3"/>
  <c r="H22" i="3"/>
  <c r="I22" i="3"/>
  <c r="J22" i="3"/>
  <c r="K22" i="3"/>
  <c r="B23" i="3"/>
  <c r="C23" i="3"/>
  <c r="D23" i="3"/>
  <c r="E23" i="3"/>
  <c r="F23" i="3"/>
  <c r="G23" i="3"/>
  <c r="H23" i="3"/>
  <c r="I23" i="3"/>
  <c r="J23" i="3"/>
  <c r="K23" i="3"/>
  <c r="B24" i="3"/>
  <c r="C24" i="3"/>
  <c r="D24" i="3"/>
  <c r="E24" i="3"/>
  <c r="F24" i="3"/>
  <c r="G24" i="3"/>
  <c r="H24" i="3"/>
  <c r="I24" i="3"/>
  <c r="J24" i="3"/>
  <c r="K24" i="3"/>
  <c r="B25" i="3"/>
  <c r="C25" i="3"/>
  <c r="D25" i="3"/>
  <c r="E25" i="3"/>
  <c r="F25" i="3"/>
  <c r="G25" i="3"/>
  <c r="H25" i="3"/>
  <c r="I25" i="3"/>
  <c r="J25" i="3"/>
  <c r="K25" i="3"/>
  <c r="B26" i="3"/>
  <c r="C26" i="3"/>
  <c r="D26" i="3"/>
  <c r="E26" i="3"/>
  <c r="F26" i="3"/>
  <c r="G26" i="3"/>
  <c r="H26" i="3"/>
  <c r="I26" i="3"/>
  <c r="J26" i="3"/>
  <c r="K26" i="3"/>
  <c r="B17" i="3"/>
  <c r="C17" i="3"/>
  <c r="D17" i="3"/>
  <c r="E17" i="3"/>
  <c r="F17" i="3"/>
  <c r="G17" i="3"/>
  <c r="H17" i="3"/>
  <c r="I17" i="3"/>
  <c r="J17" i="3"/>
  <c r="K17" i="3"/>
  <c r="B18" i="3"/>
  <c r="C18" i="3"/>
  <c r="D18" i="3"/>
  <c r="E18" i="3"/>
  <c r="F18" i="3"/>
  <c r="G18" i="3"/>
  <c r="H18" i="3"/>
  <c r="I18" i="3"/>
  <c r="J18" i="3"/>
  <c r="K18" i="3"/>
  <c r="B19" i="3"/>
  <c r="C19" i="3"/>
  <c r="D19" i="3"/>
  <c r="E19" i="3"/>
  <c r="F19" i="3"/>
  <c r="G19" i="3"/>
  <c r="H19" i="3"/>
  <c r="I19" i="3"/>
  <c r="J19" i="3"/>
  <c r="K19" i="3"/>
  <c r="C16" i="3"/>
  <c r="D16" i="3"/>
  <c r="E16" i="3"/>
  <c r="F16" i="3"/>
  <c r="G16" i="3"/>
  <c r="H16" i="3"/>
  <c r="I16" i="3"/>
  <c r="J16" i="3"/>
  <c r="K16" i="3"/>
  <c r="B16" i="3"/>
  <c r="B14" i="3"/>
  <c r="C14" i="3"/>
  <c r="D14" i="3"/>
  <c r="E14" i="3"/>
  <c r="F14" i="3"/>
  <c r="G14" i="3"/>
  <c r="H14" i="3"/>
  <c r="I14" i="3"/>
  <c r="J14" i="3"/>
  <c r="K14" i="3"/>
  <c r="B15" i="3"/>
  <c r="C15" i="3"/>
  <c r="D15" i="3"/>
  <c r="E15" i="3"/>
  <c r="F15" i="3"/>
  <c r="G15" i="3"/>
  <c r="H15" i="3"/>
  <c r="I15" i="3"/>
  <c r="J15" i="3"/>
  <c r="K15" i="3"/>
  <c r="B3" i="3"/>
  <c r="C3" i="3"/>
  <c r="D3" i="3"/>
  <c r="E3" i="3"/>
  <c r="F3" i="3"/>
  <c r="G3" i="3"/>
  <c r="H3" i="3"/>
  <c r="I3" i="3"/>
  <c r="J3" i="3"/>
  <c r="K3" i="3"/>
  <c r="B4" i="3"/>
  <c r="C4" i="3"/>
  <c r="D4" i="3"/>
  <c r="E4" i="3"/>
  <c r="F4" i="3"/>
  <c r="G4" i="3"/>
  <c r="H4" i="3"/>
  <c r="I4" i="3"/>
  <c r="J4" i="3"/>
  <c r="K4" i="3"/>
  <c r="B5" i="3"/>
  <c r="C5" i="3"/>
  <c r="D5" i="3"/>
  <c r="E5" i="3"/>
  <c r="F5" i="3"/>
  <c r="G5" i="3"/>
  <c r="H5" i="3"/>
  <c r="I5" i="3"/>
  <c r="J5" i="3"/>
  <c r="K5" i="3"/>
  <c r="B6" i="3"/>
  <c r="C6" i="3"/>
  <c r="D6" i="3"/>
  <c r="E6" i="3"/>
  <c r="F6" i="3"/>
  <c r="G6" i="3"/>
  <c r="H6" i="3"/>
  <c r="I6" i="3"/>
  <c r="J6" i="3"/>
  <c r="K6" i="3"/>
  <c r="B7" i="3"/>
  <c r="C7" i="3"/>
  <c r="D7" i="3"/>
  <c r="E7" i="3"/>
  <c r="F7" i="3"/>
  <c r="G7" i="3"/>
  <c r="H7" i="3"/>
  <c r="I7" i="3"/>
  <c r="J7" i="3"/>
  <c r="K7" i="3"/>
  <c r="B8" i="3"/>
  <c r="C8" i="3"/>
  <c r="D8" i="3"/>
  <c r="E8" i="3"/>
  <c r="F8" i="3"/>
  <c r="G8" i="3"/>
  <c r="H8" i="3"/>
  <c r="I8" i="3"/>
  <c r="J8" i="3"/>
  <c r="K8" i="3"/>
  <c r="B9" i="3"/>
  <c r="C9" i="3"/>
  <c r="D9" i="3"/>
  <c r="E9" i="3"/>
  <c r="F9" i="3"/>
  <c r="G9" i="3"/>
  <c r="H9" i="3"/>
  <c r="I9" i="3"/>
  <c r="J9" i="3"/>
  <c r="K9" i="3"/>
  <c r="B10" i="3"/>
  <c r="C10" i="3"/>
  <c r="D10" i="3"/>
  <c r="E10" i="3"/>
  <c r="F10" i="3"/>
  <c r="G10" i="3"/>
  <c r="H10" i="3"/>
  <c r="I10" i="3"/>
  <c r="J10" i="3"/>
  <c r="K10" i="3"/>
  <c r="B11" i="3"/>
  <c r="C11" i="3"/>
  <c r="D11" i="3"/>
  <c r="E11" i="3"/>
  <c r="F11" i="3"/>
  <c r="G11" i="3"/>
  <c r="H11" i="3"/>
  <c r="I11" i="3"/>
  <c r="J11" i="3"/>
  <c r="K11" i="3"/>
  <c r="B12" i="3"/>
  <c r="C12" i="3"/>
  <c r="D12" i="3"/>
  <c r="E12" i="3"/>
  <c r="F12" i="3"/>
  <c r="G12" i="3"/>
  <c r="H12" i="3"/>
  <c r="I12" i="3"/>
  <c r="J12" i="3"/>
  <c r="K12" i="3"/>
  <c r="B13" i="3"/>
  <c r="C13" i="3"/>
  <c r="D13" i="3"/>
  <c r="E13" i="3"/>
  <c r="F13" i="3"/>
  <c r="G13" i="3"/>
  <c r="H13" i="3"/>
  <c r="I13" i="3"/>
  <c r="J13" i="3"/>
  <c r="K13" i="3"/>
  <c r="C2" i="3"/>
  <c r="D2" i="3"/>
  <c r="E2" i="3"/>
  <c r="F2" i="3"/>
  <c r="G2" i="3"/>
  <c r="I2" i="3"/>
  <c r="J2" i="3"/>
  <c r="K2" i="3"/>
  <c r="B2" i="3"/>
  <c r="K92" i="1"/>
  <c r="L59" i="3" s="1"/>
  <c r="K93" i="1"/>
  <c r="L60" i="3" s="1"/>
  <c r="K91" i="1"/>
  <c r="L58" i="3" s="1"/>
  <c r="K78" i="1"/>
  <c r="L49" i="3" s="1"/>
  <c r="K80" i="1"/>
  <c r="L50" i="3" s="1"/>
  <c r="K81" i="1"/>
  <c r="L51" i="3" s="1"/>
  <c r="K82" i="1"/>
  <c r="L52" i="3" s="1"/>
  <c r="K83" i="1"/>
  <c r="L53" i="3" s="1"/>
  <c r="K84" i="1"/>
  <c r="L54" i="3" s="1"/>
  <c r="K85" i="1"/>
  <c r="L55" i="3" s="1"/>
  <c r="K86" i="1"/>
  <c r="L56" i="3" s="1"/>
  <c r="K87" i="1"/>
  <c r="L57" i="3" s="1"/>
  <c r="K77" i="1"/>
  <c r="L48" i="3" s="1"/>
  <c r="K66" i="1"/>
  <c r="L43" i="3" s="1"/>
  <c r="K67" i="1"/>
  <c r="L44" i="3" s="1"/>
  <c r="K68" i="1"/>
  <c r="L45" i="3" s="1"/>
  <c r="K69" i="1"/>
  <c r="L46" i="3" s="1"/>
  <c r="K70" i="1"/>
  <c r="L47" i="3" s="1"/>
  <c r="K65" i="1"/>
  <c r="L42" i="3" s="1"/>
  <c r="K51" i="1"/>
  <c r="L35" i="3" s="1"/>
  <c r="K52" i="1"/>
  <c r="L36" i="3" s="1"/>
  <c r="K53" i="1"/>
  <c r="L37" i="3" s="1"/>
  <c r="K54" i="1"/>
  <c r="L38" i="3" s="1"/>
  <c r="K55" i="1"/>
  <c r="K56" i="1"/>
  <c r="L39" i="3" s="1"/>
  <c r="K57" i="1"/>
  <c r="L40" i="3" s="1"/>
  <c r="K58" i="1"/>
  <c r="K59" i="1"/>
  <c r="L41" i="3" s="1"/>
  <c r="K50" i="1"/>
  <c r="L34" i="3" s="1"/>
  <c r="K30" i="1"/>
  <c r="L21" i="3" s="1"/>
  <c r="K31" i="1"/>
  <c r="L22" i="3" s="1"/>
  <c r="K32" i="1"/>
  <c r="L23" i="3" s="1"/>
  <c r="K33" i="1"/>
  <c r="L24" i="3" s="1"/>
  <c r="K34" i="1"/>
  <c r="L25" i="3" s="1"/>
  <c r="K35" i="1"/>
  <c r="L26" i="3" s="1"/>
  <c r="K36" i="1"/>
  <c r="L27" i="3" s="1"/>
  <c r="K37" i="1"/>
  <c r="L28" i="3" s="1"/>
  <c r="K38" i="1"/>
  <c r="K39" i="1"/>
  <c r="L29" i="3" s="1"/>
  <c r="K40" i="1"/>
  <c r="K41" i="1"/>
  <c r="L30" i="3" s="1"/>
  <c r="K42" i="1"/>
  <c r="L31" i="3" s="1"/>
  <c r="K43" i="1"/>
  <c r="L32" i="3" s="1"/>
  <c r="K44" i="1"/>
  <c r="L33" i="3" s="1"/>
  <c r="K25" i="1"/>
  <c r="L16" i="3" s="1"/>
  <c r="K26" i="1"/>
  <c r="L17" i="3" s="1"/>
  <c r="K27" i="1"/>
  <c r="L18" i="3" s="1"/>
  <c r="K28" i="1"/>
  <c r="L19" i="3" s="1"/>
  <c r="K29" i="1"/>
  <c r="L20" i="3" s="1"/>
  <c r="K15" i="1"/>
  <c r="L13" i="3" s="1"/>
  <c r="K16" i="1"/>
  <c r="K17" i="1"/>
  <c r="K18" i="1"/>
  <c r="L14" i="3" s="1"/>
  <c r="K19" i="1"/>
  <c r="L15" i="3" s="1"/>
  <c r="K12" i="1"/>
  <c r="L10" i="3" s="1"/>
  <c r="K13" i="1"/>
  <c r="L11" i="3" s="1"/>
  <c r="K14" i="1"/>
  <c r="L12" i="3" s="1"/>
  <c r="K7" i="1"/>
  <c r="L5" i="3" s="1"/>
  <c r="K8" i="1"/>
  <c r="L6" i="3" s="1"/>
  <c r="K9" i="1"/>
  <c r="L7" i="3" s="1"/>
  <c r="K10" i="1"/>
  <c r="L8" i="3" s="1"/>
  <c r="K11" i="1"/>
  <c r="L9" i="3" s="1"/>
  <c r="K5" i="1"/>
  <c r="L3" i="3" s="1"/>
  <c r="K6" i="1"/>
  <c r="L4" i="3" s="1"/>
  <c r="K4" i="1"/>
  <c r="L2" i="3" s="1"/>
</calcChain>
</file>

<file path=xl/sharedStrings.xml><?xml version="1.0" encoding="utf-8"?>
<sst xmlns="http://schemas.openxmlformats.org/spreadsheetml/2006/main" count="3589" uniqueCount="650">
  <si>
    <t>CAMARAS REGIÓN SURESTE</t>
  </si>
  <si>
    <t xml:space="preserve">Titulo </t>
  </si>
  <si>
    <t xml:space="preserve">Nombre </t>
  </si>
  <si>
    <t>Apellido materno</t>
  </si>
  <si>
    <t>Apellido paterno</t>
  </si>
  <si>
    <t xml:space="preserve">Institución </t>
  </si>
  <si>
    <t>Puesto</t>
  </si>
  <si>
    <t>Teléfonos</t>
  </si>
  <si>
    <t>Correos Electronicos</t>
  </si>
  <si>
    <t>Ubicación</t>
  </si>
  <si>
    <t>LIC.</t>
  </si>
  <si>
    <t>Ramos Arizpe</t>
  </si>
  <si>
    <t>VILLARREAL</t>
  </si>
  <si>
    <t>SAUCEDA</t>
  </si>
  <si>
    <t>ASOCIACION DE INDUSTRIALES Y EMPRESARIOS DE RAMOS ARIZPE,  A.C.</t>
  </si>
  <si>
    <t>DIRECTORA GENERAL</t>
  </si>
  <si>
    <t>monica.villarreal@aiera.org.mx; monica.herandez@aiera.org.mx</t>
  </si>
  <si>
    <t>CAMARA NACIONAL DE LA INDUSTRIA DE LA TRANSFORMACION DELEGACION COAHUILA SURESTE</t>
  </si>
  <si>
    <t>ING.</t>
  </si>
  <si>
    <t>GARZA</t>
  </si>
  <si>
    <t>MARTÍNEZ</t>
  </si>
  <si>
    <t>Saltillo</t>
  </si>
  <si>
    <t>MTRA.</t>
  </si>
  <si>
    <t>CYNTHIA</t>
  </si>
  <si>
    <t>ARRAZOLA</t>
  </si>
  <si>
    <t>OLLERVIDES</t>
  </si>
  <si>
    <t>DIRECTOR GENERAL</t>
  </si>
  <si>
    <t xml:space="preserve">cyarrazola@canacintra-saltillo.org.mx; </t>
  </si>
  <si>
    <t>GUILLERMO</t>
  </si>
  <si>
    <t>DÁVILA</t>
  </si>
  <si>
    <t xml:space="preserve">CAMARA MEXICANA DE LA INDUSTRIA DE LA CONSTRUCCION DELEGACION COAHUILA SURESTE </t>
  </si>
  <si>
    <t>cmicsaltillo@live.com.mx;</t>
  </si>
  <si>
    <t>CATALINA</t>
  </si>
  <si>
    <t>NIÑO</t>
  </si>
  <si>
    <t>RODRÍGUEZ</t>
  </si>
  <si>
    <t>GERENTE</t>
  </si>
  <si>
    <t>CAMARA NACIONAL DE COMERCIO, SERVICIOS Y TURISMO DE SALTILLO / FECADECO</t>
  </si>
  <si>
    <t>ALEJANDRO</t>
  </si>
  <si>
    <t>direccion@canacosaltillo.com.mx; asistentedireccion@canacosaltillo.com.mx;</t>
  </si>
  <si>
    <t>CÉSAR ARMANDO</t>
  </si>
  <si>
    <t>VALDÉS</t>
  </si>
  <si>
    <t>RAMOS</t>
  </si>
  <si>
    <t>DIRECTOR</t>
  </si>
  <si>
    <t>CAMARA NACIONAL DE LA INDUSTRIA DE RESTAURANTES Y ALIMENTOS CONDIMENTADOS SALTILLO</t>
  </si>
  <si>
    <t>PRESIDENTE</t>
  </si>
  <si>
    <t xml:space="preserve">LUIS </t>
  </si>
  <si>
    <t>TORRES</t>
  </si>
  <si>
    <t xml:space="preserve">ARZUAGA </t>
  </si>
  <si>
    <t>DIRECCION</t>
  </si>
  <si>
    <t>contacto@caniracsaltillo.mx</t>
  </si>
  <si>
    <t>CANADEVI COAHUILA</t>
  </si>
  <si>
    <t>LORENA</t>
  </si>
  <si>
    <t>coahuila@canadevi.com.mx;</t>
  </si>
  <si>
    <t>COPARMEX COAHUILA SURESTE</t>
  </si>
  <si>
    <t>C.P.</t>
  </si>
  <si>
    <t>MIGUEL</t>
  </si>
  <si>
    <t>MONROY</t>
  </si>
  <si>
    <t>ROBLES</t>
  </si>
  <si>
    <t>mmonroy@coparmexcoahuila.org.mx; direccion@coparmexcoahuila.org.mx;</t>
  </si>
  <si>
    <t>CANACAR</t>
  </si>
  <si>
    <t>SR.</t>
  </si>
  <si>
    <t>JUAN MANUEL</t>
  </si>
  <si>
    <t>CANTÚ</t>
  </si>
  <si>
    <t xml:space="preserve">DELEGADO </t>
  </si>
  <si>
    <t>saltillo@canacar.com.mx; delegado.saltillo@canacar.com.mx</t>
  </si>
  <si>
    <t>CARLOS JOSÉ</t>
  </si>
  <si>
    <t>AGUIRRE</t>
  </si>
  <si>
    <t>saltillo@canacar.com.mx; delegado.saltillo@canacar.com.mx;</t>
  </si>
  <si>
    <t xml:space="preserve">ING. </t>
  </si>
  <si>
    <t>JOSE ANTONIO</t>
  </si>
  <si>
    <t>FUENTES</t>
  </si>
  <si>
    <t>844 427 09 33</t>
  </si>
  <si>
    <t>arrenda.saltillo@gmail.com</t>
  </si>
  <si>
    <t>ASOCIACIÓN MEXICANA DE HOTELES Y MOTELES DE COAHUILA</t>
  </si>
  <si>
    <t>LUIS GILBERTO</t>
  </si>
  <si>
    <t>GONZÁLEZ</t>
  </si>
  <si>
    <t>AROCHA</t>
  </si>
  <si>
    <t>dmcdecoah@hotmail.com</t>
  </si>
  <si>
    <t xml:space="preserve">Monclova </t>
  </si>
  <si>
    <t>CLÚSTER DE ENERGIA COAHUILA, A.C.</t>
  </si>
  <si>
    <t>DR.</t>
  </si>
  <si>
    <t>ROGELIO</t>
  </si>
  <si>
    <t>MONTEMAYOR</t>
  </si>
  <si>
    <t>SEGUY</t>
  </si>
  <si>
    <t>presidencia@clusterenergia.org;</t>
  </si>
  <si>
    <t>direccion@viveloensaltillo.com</t>
  </si>
  <si>
    <t>RAÚL</t>
  </si>
  <si>
    <t>RODARTE</t>
  </si>
  <si>
    <t>LEOS</t>
  </si>
  <si>
    <t>ASOCIACION DE ADMINISTRADORES DE RECURSOS HUMANOS COAHUILA SURESTE, A.C.</t>
  </si>
  <si>
    <t>KARLA ALEJANDRA</t>
  </si>
  <si>
    <t>PADILLA</t>
  </si>
  <si>
    <t>gerencia@arhcos.org.mx; asistente@arhcos.org.mx;  </t>
  </si>
  <si>
    <t xml:space="preserve">VINOS DE COAHUILA PROVICO, A.C. </t>
  </si>
  <si>
    <t xml:space="preserve">comitevitivinicoladecoahuila@gmail.com; </t>
  </si>
  <si>
    <t>RICARDO</t>
  </si>
  <si>
    <t>SALDIVAR</t>
  </si>
  <si>
    <t>CAMARA NACIONAL DEL ALUMINIO</t>
  </si>
  <si>
    <t>HECTOR</t>
  </si>
  <si>
    <t xml:space="preserve">MEDRANO </t>
  </si>
  <si>
    <t>FLORES</t>
  </si>
  <si>
    <t>DELEGADO EN COAHUILA</t>
  </si>
  <si>
    <t>juridico@cactusvalley.com.mx; hmedranof@cactusvalley.com.mx;</t>
  </si>
  <si>
    <t xml:space="preserve">CAMARAS REGIÓN LAGUNA </t>
  </si>
  <si>
    <t>GUTIÉRREZ</t>
  </si>
  <si>
    <t>CANACINTRA TORREON</t>
  </si>
  <si>
    <t>Torreón</t>
  </si>
  <si>
    <t>ALEJANDRA</t>
  </si>
  <si>
    <t>HURTADO</t>
  </si>
  <si>
    <t>HERNANDEZ</t>
  </si>
  <si>
    <t>DIRECCION GENERAL</t>
  </si>
  <si>
    <t xml:space="preserve">torreon@canacintra.org.mx; direccion@canacintratorreon.org; recepcion@canacintratorreon.org; </t>
  </si>
  <si>
    <t xml:space="preserve">ADEL </t>
  </si>
  <si>
    <t>ALCALA</t>
  </si>
  <si>
    <t>CAMARA DE LA PROPIEDAD URBANA DE TORREON,  A.C.</t>
  </si>
  <si>
    <t>cputorreon@hotmail.com;</t>
  </si>
  <si>
    <t xml:space="preserve">CANACAR REGIÓN LAGUNA </t>
  </si>
  <si>
    <t>ANTONIO MARIO</t>
  </si>
  <si>
    <t>DAVILA</t>
  </si>
  <si>
    <t>VILLAR</t>
  </si>
  <si>
    <t>DELEGADO</t>
  </si>
  <si>
    <t>canacar_cl@hotmail.com;  torreon@canacar.com.mx</t>
  </si>
  <si>
    <t>THYRA</t>
  </si>
  <si>
    <t>ESTAVILLO</t>
  </si>
  <si>
    <t>BASURTO</t>
  </si>
  <si>
    <t>MUÑOZ</t>
  </si>
  <si>
    <t xml:space="preserve">CANACO TORREON </t>
  </si>
  <si>
    <t>CATALYNA AYLEMA</t>
  </si>
  <si>
    <t>RIVAS</t>
  </si>
  <si>
    <t>BUSTAMANTE</t>
  </si>
  <si>
    <t>direcciongeneral@canacotorreon.mx; asistentedireccion@canacotorreon.com.mx;</t>
  </si>
  <si>
    <t xml:space="preserve">FOMENTO ECONÓMICO LAGUNA, A.C. </t>
  </si>
  <si>
    <t xml:space="preserve">LIC. </t>
  </si>
  <si>
    <t>TALIA</t>
  </si>
  <si>
    <t>ROMERO</t>
  </si>
  <si>
    <t>promero@fomec.org.mx</t>
  </si>
  <si>
    <t>COPARMEX DELEGACIÓN LAGUNA</t>
  </si>
  <si>
    <t>REYES</t>
  </si>
  <si>
    <t xml:space="preserve">PRESIDENTE </t>
  </si>
  <si>
    <t>FERNANDO</t>
  </si>
  <si>
    <t>CARILLO</t>
  </si>
  <si>
    <t>BALDERAS</t>
  </si>
  <si>
    <t>DIRECTORA</t>
  </si>
  <si>
    <t>CÁMARA NACIONAL DE LA INDUSTRIA DEL VESTIDO DELEGACIÓN LAGUNA</t>
  </si>
  <si>
    <t>LUIS JUAN</t>
  </si>
  <si>
    <t>MARCOS</t>
  </si>
  <si>
    <t>ISSA</t>
  </si>
  <si>
    <t xml:space="preserve">jrobles@canainve.org; </t>
  </si>
  <si>
    <t>CANACO SAN PEDRO</t>
  </si>
  <si>
    <t>ABERLARDO ANTERO</t>
  </si>
  <si>
    <t>FERANDEZ</t>
  </si>
  <si>
    <t>CAVAZOS</t>
  </si>
  <si>
    <t>top_veterinaria@yahoo.com.mx; laura4luna@yahoo.com.mx;</t>
  </si>
  <si>
    <t xml:space="preserve">San Pedro </t>
  </si>
  <si>
    <t>OSCAR</t>
  </si>
  <si>
    <t>SALOMON</t>
  </si>
  <si>
    <t>MILAN ABAD</t>
  </si>
  <si>
    <t>CANACINTRA</t>
  </si>
  <si>
    <t>COORDINADOR NACIONAL DE ASESORES DE DELEGACIONES</t>
  </si>
  <si>
    <t>CÁMARA AGRÍCOLA Y GANADERA DE TORREÓN, A.C.</t>
  </si>
  <si>
    <t>MARIO IGNACIO</t>
  </si>
  <si>
    <t xml:space="preserve">VALDÉS </t>
  </si>
  <si>
    <t>QUINTANILLA</t>
  </si>
  <si>
    <t>gerencia@camaraagricolayganadera.org; asistentepdte@camaraagricolayganadera.org;</t>
  </si>
  <si>
    <t xml:space="preserve"> CLUSTER AUTOMOTRIZ LAGUNA</t>
  </si>
  <si>
    <t>MARIA LUISA</t>
  </si>
  <si>
    <t>MORALES</t>
  </si>
  <si>
    <t>SALAS</t>
  </si>
  <si>
    <t>PRESIDENTA</t>
  </si>
  <si>
    <t>luisa.morales@clusterautomotrizlaguna.com; administracion@stampl.mx;</t>
  </si>
  <si>
    <t>CANADEVI DELEGACIÓN COMARCA LAGUNERA</t>
  </si>
  <si>
    <t>SALDAÑA</t>
  </si>
  <si>
    <t>WOLFF</t>
  </si>
  <si>
    <t>admonlaguna@canadevi.com.mx; la_laguna@canadevi.com.mx;</t>
  </si>
  <si>
    <t>CLIP</t>
  </si>
  <si>
    <t>JOSÉ LUIS</t>
  </si>
  <si>
    <t xml:space="preserve">HOTEMA </t>
  </si>
  <si>
    <t>DE SANTIAGO</t>
  </si>
  <si>
    <t xml:space="preserve">c.l.i.p@hotmail.com; </t>
  </si>
  <si>
    <t>CANACO MATAMOROS</t>
  </si>
  <si>
    <t>OSCAR ALBERTO</t>
  </si>
  <si>
    <t>DE ÁVILA</t>
  </si>
  <si>
    <t>ALFARO</t>
  </si>
  <si>
    <t>deavilagrupo@hotmail.com</t>
  </si>
  <si>
    <t>SUJEYL</t>
  </si>
  <si>
    <t>ALVARADO</t>
  </si>
  <si>
    <t>direccion@torreonconquista.com</t>
  </si>
  <si>
    <t>CANIRAC</t>
  </si>
  <si>
    <t>AVILA</t>
  </si>
  <si>
    <t>torreon@canirac.org.mx;</t>
  </si>
  <si>
    <t>CANIETI COAHUILA-DURANGO</t>
  </si>
  <si>
    <t xml:space="preserve">TANIA </t>
  </si>
  <si>
    <t>LIMONES</t>
  </si>
  <si>
    <t>direccion@canieticd.org;</t>
  </si>
  <si>
    <t>CANACO MADERO</t>
  </si>
  <si>
    <t>LIC</t>
  </si>
  <si>
    <t>PERLA GUADALUPE</t>
  </si>
  <si>
    <t>AGUILERA</t>
  </si>
  <si>
    <t>BAÑUELO</t>
  </si>
  <si>
    <t>canaco.madero@outlook.com;</t>
  </si>
  <si>
    <t>Fco. I. Madero</t>
  </si>
  <si>
    <t>CÁMARA MEXICANA DE LA INDUSTRIA DE LA CONSTRUCCIÓN DELEGACIÓN COMARCA LAGUNERA, COAHUILA Y DURANGO</t>
  </si>
  <si>
    <t>DONATO</t>
  </si>
  <si>
    <t>GUTIERREZ</t>
  </si>
  <si>
    <t xml:space="preserve">cdtconstrucciones@hotmail.com; </t>
  </si>
  <si>
    <t>CAMARAS REGIÓN CENTRO - DESIERTO</t>
  </si>
  <si>
    <t>CMIC, COAHUILA CENTRO-NORTE</t>
  </si>
  <si>
    <t xml:space="preserve">MONCLOVA </t>
  </si>
  <si>
    <t>BONIFACIO</t>
  </si>
  <si>
    <t>URIBE</t>
  </si>
  <si>
    <t>RIOJAS</t>
  </si>
  <si>
    <t>GERENTE GENERAL</t>
  </si>
  <si>
    <t>gerenciacmiccoah@hotmail.com; cmic.monclova@gmail.com</t>
  </si>
  <si>
    <t>CANACO SERVYTUR MONCLOVA</t>
  </si>
  <si>
    <t>GABRIELA</t>
  </si>
  <si>
    <t>REBOLLOZO</t>
  </si>
  <si>
    <t>GERENTE ADMINISTRATIVO</t>
  </si>
  <si>
    <t>gerencia@canacomonclova.com; socios@canacomonclova.com;</t>
  </si>
  <si>
    <t>director@canacintramonclova.org; recepcion@canacintramonclova.org; presidente@canacintramonclova.org;</t>
  </si>
  <si>
    <t>NORMA ALICIA</t>
  </si>
  <si>
    <t>CRUZ</t>
  </si>
  <si>
    <t>SÁNCHEZ</t>
  </si>
  <si>
    <t>CANACINTRA MONCLOVA</t>
  </si>
  <si>
    <t>UNION DE ORGANISMOS EMPRESARIALES DEL CENTRO DEL ESTADO DE COAHUILA, A.C.</t>
  </si>
  <si>
    <t>JOSÉ EDUARDO</t>
  </si>
  <si>
    <t>ARELLANO</t>
  </si>
  <si>
    <t>SUÁREZ</t>
  </si>
  <si>
    <t>j.arellano@grupoalimenticio.com.mx;</t>
  </si>
  <si>
    <t>CÁMARA DE LA PROPIEDAD URBANA DE MONCLOVA</t>
  </si>
  <si>
    <t>CORONADO</t>
  </si>
  <si>
    <t>notariapublicauno_acr@prodigy.net.mx;</t>
  </si>
  <si>
    <t>ENRIQUE</t>
  </si>
  <si>
    <t>AYALA</t>
  </si>
  <si>
    <t>ocvmonclova@gmail.com; promocion@rutadeldesierto.com</t>
  </si>
  <si>
    <t>CANACO FRONTERA</t>
  </si>
  <si>
    <t>CÉSAR ORLANDO</t>
  </si>
  <si>
    <t>CHÁVEZ</t>
  </si>
  <si>
    <t>RAMÓN</t>
  </si>
  <si>
    <t>canacofrontera_@hotmail.com; icatec_carmenrdz@hotmail.com; cesarcocr7@gmail.com</t>
  </si>
  <si>
    <t>COPARMEX MONCLOVA</t>
  </si>
  <si>
    <t>MIRIAM</t>
  </si>
  <si>
    <t>mujerescoparmexmva@gmail.com; gerencia@coparmexmonclova.org;</t>
  </si>
  <si>
    <t>CANACAR DELEGACIÓN MONCLOVA</t>
  </si>
  <si>
    <t>SIFUENTES</t>
  </si>
  <si>
    <t>MARÍA FELIX</t>
  </si>
  <si>
    <t>VELÍZ</t>
  </si>
  <si>
    <t>gerente.mva@canacar.com.mx</t>
  </si>
  <si>
    <t>CAMARA DE LA INDUSTRIA DE LA RADIO Y LA TELEVISION</t>
  </si>
  <si>
    <t>UDABE</t>
  </si>
  <si>
    <t>vnhkm@yahoo.com.mx;</t>
  </si>
  <si>
    <t xml:space="preserve">CAMARAS CARBONÍFERA </t>
  </si>
  <si>
    <t xml:space="preserve">Correo </t>
  </si>
  <si>
    <t xml:space="preserve">Ubicación </t>
  </si>
  <si>
    <t xml:space="preserve">CONSEJO EMPRESARIAL SABINAS </t>
  </si>
  <si>
    <t xml:space="preserve">ALBERTO </t>
  </si>
  <si>
    <t xml:space="preserve">LOZANO </t>
  </si>
  <si>
    <t xml:space="preserve">VELAZQUEZ </t>
  </si>
  <si>
    <t>PRESIDENTE FUNDADOR</t>
  </si>
  <si>
    <t>proteccion2000@prodigy.net.mx;  proteccion2004@gmail.com</t>
  </si>
  <si>
    <t>SABINAS</t>
  </si>
  <si>
    <t>JIMENEZ</t>
  </si>
  <si>
    <t>proteccion2000@prodigy.net.mx; alberto.ramos@mineralesmirasa.com; produccion@grupomirasa.com;</t>
  </si>
  <si>
    <t xml:space="preserve">UNION MEXICANA DE PRODUCTORES DE CARBON, A.C. </t>
  </si>
  <si>
    <t>JOSÉ BOGAR</t>
  </si>
  <si>
    <t xml:space="preserve">umpc_carbon@hotmail.com; </t>
  </si>
  <si>
    <t xml:space="preserve">UNION NACIONAL DE PRODUCTORES DE CARBON </t>
  </si>
  <si>
    <t>CÉSAR LUIS</t>
  </si>
  <si>
    <t>CENICEROS</t>
  </si>
  <si>
    <t>MARÍN</t>
  </si>
  <si>
    <t>unp_ac@hotmail.com; silicaspn@gmail.com</t>
  </si>
  <si>
    <t>CANACO SERVYTUR SABINAS</t>
  </si>
  <si>
    <t>GREGORIO</t>
  </si>
  <si>
    <t>BALLI</t>
  </si>
  <si>
    <t>CANACO NUEVA ROSITA</t>
  </si>
  <si>
    <t>C.</t>
  </si>
  <si>
    <t>ROSA GLORIA</t>
  </si>
  <si>
    <t>DE ARTEAGA</t>
  </si>
  <si>
    <t>canaco2017@hotmail.com</t>
  </si>
  <si>
    <t>NUEVA ROSITA</t>
  </si>
  <si>
    <t xml:space="preserve">turismo_carbonifera@hotmail.com; </t>
  </si>
  <si>
    <t xml:space="preserve">JUAN OSCAR </t>
  </si>
  <si>
    <t>DÁVALOS</t>
  </si>
  <si>
    <t>ORNELAS</t>
  </si>
  <si>
    <t>CAMARAS REGIÓN NORTE</t>
  </si>
  <si>
    <t>Correo</t>
  </si>
  <si>
    <t xml:space="preserve">CANACINTRA DELEGACION ACUÑA </t>
  </si>
  <si>
    <t>TREVIÑO</t>
  </si>
  <si>
    <t>CD. ACUÑA</t>
  </si>
  <si>
    <t>IRIS YANETH</t>
  </si>
  <si>
    <t>ARIAS</t>
  </si>
  <si>
    <t>direccion@canacintraacuna.com.mx; cdacuna@canacintra.org.mx</t>
  </si>
  <si>
    <t>CANACO SERVYTUR ACUÑA</t>
  </si>
  <si>
    <t>CARMEN</t>
  </si>
  <si>
    <t>CORNELIO</t>
  </si>
  <si>
    <t>VALLEJO</t>
  </si>
  <si>
    <t xml:space="preserve">direccion@canacoacuna.com.mx; </t>
  </si>
  <si>
    <t>OFICINA DE CONVENCIONES Y VISITANTES DE ACUÑA</t>
  </si>
  <si>
    <t>BERAIN</t>
  </si>
  <si>
    <t xml:space="preserve">VILLARREAL  </t>
  </si>
  <si>
    <t xml:space="preserve">DIRECTOR </t>
  </si>
  <si>
    <t>COMITÉ DE DESARROLLO ECONÓMICO</t>
  </si>
  <si>
    <t>MANUEL</t>
  </si>
  <si>
    <t>LOSOYA</t>
  </si>
  <si>
    <t>mramon@chevyriogrande.com;</t>
  </si>
  <si>
    <t xml:space="preserve">GABRIELA </t>
  </si>
  <si>
    <t>ASOCIACIÓN DE MAQUILADORAS DE ACUÑA, A.C. (INDEX)</t>
  </si>
  <si>
    <t>VICEPRESIDENTE DE LA ASOCIACIÓN</t>
  </si>
  <si>
    <t>CUAUHTEMOC</t>
  </si>
  <si>
    <t>CASTILLA</t>
  </si>
  <si>
    <t>DIRECTOR DE LA ASOCIACIÓN</t>
  </si>
  <si>
    <t xml:space="preserve">UNION DE ORGANISMOS EMPRESARIALES </t>
  </si>
  <si>
    <t>ANTONIO</t>
  </si>
  <si>
    <t xml:space="preserve">RODRIGUEZ </t>
  </si>
  <si>
    <t>GUAJARDO</t>
  </si>
  <si>
    <t>canacintra_acuna@prodigy.net.mx; roguantonio@hotmail.com; angela4958@hotmail.com;</t>
  </si>
  <si>
    <t>CANACO PIEDRAS NEGRAS</t>
  </si>
  <si>
    <t>PIEDRAS NEGRAS</t>
  </si>
  <si>
    <t>KORAYMA SELENY</t>
  </si>
  <si>
    <t>GARCÍA</t>
  </si>
  <si>
    <t>canacopn2013@hotmail.com;</t>
  </si>
  <si>
    <t>CANACINTRA DELEGACIÓN PIEDRAS NEGRAS</t>
  </si>
  <si>
    <t>MARIEL</t>
  </si>
  <si>
    <t>CAMARRILLO</t>
  </si>
  <si>
    <t>BORREGO</t>
  </si>
  <si>
    <t>piedrasnegras@canacintra.org.mx</t>
  </si>
  <si>
    <t>CONSEJO DE FOMENTO ECONOMICO DE PIEDRAS NEGRAS</t>
  </si>
  <si>
    <t xml:space="preserve">MORRIS </t>
  </si>
  <si>
    <t xml:space="preserve">LIBSON </t>
  </si>
  <si>
    <t>VALDES</t>
  </si>
  <si>
    <t>conagas19@conagas.com;</t>
  </si>
  <si>
    <t>INDEX PIEDRAS NEGRAS</t>
  </si>
  <si>
    <t xml:space="preserve">GUSTAVO </t>
  </si>
  <si>
    <t xml:space="preserve">GARCIA   </t>
  </si>
  <si>
    <t xml:space="preserve">direccionpn@indexpiedrasnegras.org.mx; vinculacion@indexpiedrasnegras.org.mx </t>
  </si>
  <si>
    <t>ASOCIACIÓN DE AGENTES ADUANALES DE PIEDRAS NEGRAS, A.C.</t>
  </si>
  <si>
    <t>JESÚS ERNESTO</t>
  </si>
  <si>
    <t>VELA</t>
  </si>
  <si>
    <t>REYNA</t>
  </si>
  <si>
    <t xml:space="preserve">JUAN  </t>
  </si>
  <si>
    <t>juan.gonzalez@aaapn.mx</t>
  </si>
  <si>
    <t>ÁNGELICA</t>
  </si>
  <si>
    <t xml:space="preserve">RODRÍGUEZ </t>
  </si>
  <si>
    <t>norma_tg@live.com.mx; moenia_angel@hotmail.com;</t>
  </si>
  <si>
    <t>ASOCIACION DE AGENTES ADUANALES DE ACUÑA</t>
  </si>
  <si>
    <t>YOLANDA ESTHELA</t>
  </si>
  <si>
    <t>CALDERÓN</t>
  </si>
  <si>
    <t>AMEZCUA</t>
  </si>
  <si>
    <t xml:space="preserve">aaaa@aaaa.org.mx;  </t>
  </si>
  <si>
    <t>CÁMARA DE LA PROPIEDAD INMOBILIARIA COAHUILA SURESTE A.C. (CAPI)</t>
  </si>
  <si>
    <t>MÓNICA ROCÍO</t>
  </si>
  <si>
    <t>OFICINA DE CONVENCIONES Y VISITANTES REGIÓN CARBONIFERA</t>
  </si>
  <si>
    <t>OFICINA DE CONVENCIONES Y VISITANTES MONCLOVA</t>
  </si>
  <si>
    <t xml:space="preserve">OFICINA DE CONVENCIONES Y VISITANTES TORREÓN </t>
  </si>
  <si>
    <t>OFICINA DE CONVENCIONES Y VISITANTES SALTILLO</t>
  </si>
  <si>
    <t>OFICINA DE CONVENCIONES Y VISITANTES PIEDRAS NEGRAS</t>
  </si>
  <si>
    <t>877 772 5559
877 772 0026</t>
  </si>
  <si>
    <t>877 772 5015
C. 877 1154 032</t>
  </si>
  <si>
    <t>877 772 1600
C. 877 100 4030</t>
  </si>
  <si>
    <t>877 786 3250</t>
  </si>
  <si>
    <t>877 772 5803</t>
  </si>
  <si>
    <t>877 772 5803
877 793 6449</t>
  </si>
  <si>
    <t>877 772 5816</t>
  </si>
  <si>
    <t>878 782 2041</t>
  </si>
  <si>
    <t>878 783 8100</t>
  </si>
  <si>
    <t>CONAGAS 
878 782 2364
878 782 2400</t>
  </si>
  <si>
    <t>878 783 7723</t>
  </si>
  <si>
    <t>878 782 1354
878 782 8491</t>
  </si>
  <si>
    <t>878 782 0082
Ext 112,110</t>
  </si>
  <si>
    <t>878 782 0081
Ext 110</t>
  </si>
  <si>
    <t>877 772 2181
Ext 103</t>
  </si>
  <si>
    <t>presidencia@aaapn.mx</t>
  </si>
  <si>
    <r>
      <t xml:space="preserve">direccion@indexacuna.org.mx; </t>
    </r>
    <r>
      <rPr>
        <u/>
        <sz val="11"/>
        <color rgb="FFFF0000"/>
        <rFont val="Arial"/>
        <family val="2"/>
      </rPr>
      <t xml:space="preserve">amadac386@prodigy.net.mx; </t>
    </r>
    <r>
      <rPr>
        <u/>
        <sz val="11"/>
        <color rgb="FF0000FF"/>
        <rFont val="Arial"/>
        <family val="2"/>
      </rPr>
      <t>cuauhtemochernandezcastilla@hotmail.com;</t>
    </r>
  </si>
  <si>
    <r>
      <t xml:space="preserve">direccion@indexacuna.org.mx; </t>
    </r>
    <r>
      <rPr>
        <u/>
        <sz val="11"/>
        <color rgb="FFFF0000"/>
        <rFont val="Arial"/>
        <family val="2"/>
      </rPr>
      <t>amadac386@prodigy.net.mx;</t>
    </r>
    <r>
      <rPr>
        <u/>
        <sz val="11"/>
        <color rgb="FF0000FF"/>
        <rFont val="Arial"/>
        <family val="2"/>
      </rPr>
      <t xml:space="preserve"> cuauhtemochernandezcastilla@hotmail.com;</t>
    </r>
  </si>
  <si>
    <t>ocvacuna2014@gmail.com; fberain1@hotmail.com</t>
  </si>
  <si>
    <t>861 614 1928</t>
  </si>
  <si>
    <t xml:space="preserve">Minera Ramos
864 616 2697 </t>
  </si>
  <si>
    <t>861 612 1451
C. 861 612 6609</t>
  </si>
  <si>
    <t>861 612 7035
861 612 2950 
C. 878 788 9301</t>
  </si>
  <si>
    <t>861 613 0708
861 613 0762
C. 861 110 0117</t>
  </si>
  <si>
    <t>861 614 5384 
Asistente: 
C .861 132 3343</t>
  </si>
  <si>
    <t>861 613 0503
800 570 0807</t>
  </si>
  <si>
    <t>sabicanaco@hotmail.com; sabicanaco@prodigy.net.mx</t>
  </si>
  <si>
    <t>866 632 0591
866 633 0268
C. 866 630 0676</t>
  </si>
  <si>
    <t>866 634 3010
866 634 2625</t>
  </si>
  <si>
    <t>866 633 6633
866 631 0900</t>
  </si>
  <si>
    <t>866 105 2304</t>
  </si>
  <si>
    <t>866 636 1082
866 636 2405</t>
  </si>
  <si>
    <t>866 636 2730</t>
  </si>
  <si>
    <t>866 634 4042  
C. 866 131 8156</t>
  </si>
  <si>
    <t>866 163 0887</t>
  </si>
  <si>
    <t>866 636 9538
C. 866 184 0875</t>
  </si>
  <si>
    <t>FRONTERA</t>
  </si>
  <si>
    <t>Matamoros</t>
  </si>
  <si>
    <t>871 716 1072 
C. 871 113 6804</t>
  </si>
  <si>
    <t>871 192 8400
871 192 7788</t>
  </si>
  <si>
    <t xml:space="preserve">871 722 5993  </t>
  </si>
  <si>
    <t>871 716 8822
871 716 5420
871 716 2404
C. 871 116 9119</t>
  </si>
  <si>
    <t>871 732 0929
C. 871 234 5879</t>
  </si>
  <si>
    <t>871 713 6769
871 717 5497</t>
  </si>
  <si>
    <t>871 227 2525
871 227 2555</t>
  </si>
  <si>
    <t>872 121 3253</t>
  </si>
  <si>
    <t>871 712 0317
871 716 2006</t>
  </si>
  <si>
    <t xml:space="preserve">871 791 3347 </t>
  </si>
  <si>
    <t>871 722 3525
871 722 3526</t>
  </si>
  <si>
    <t>C. 871 157 4947</t>
  </si>
  <si>
    <t>871 793 2244
 871 722 9220
871 230 3553</t>
  </si>
  <si>
    <t>871 734 2078
 871 747 8117</t>
  </si>
  <si>
    <t>C. 871 208 3614
871 210 0015</t>
  </si>
  <si>
    <t>872 773 1292
C. 871 213 5363</t>
  </si>
  <si>
    <t>871 713 3361
871 717 4815
871 713 6388
C. 871 174 8415</t>
  </si>
  <si>
    <r>
      <rPr>
        <sz val="11"/>
        <rFont val="Arial"/>
        <family val="2"/>
      </rPr>
      <t>presidencia@coparmexlaguna.org.mx;</t>
    </r>
    <r>
      <rPr>
        <u/>
        <sz val="11"/>
        <color rgb="FFFF0000"/>
        <rFont val="Arial"/>
        <family val="2"/>
      </rPr>
      <t xml:space="preserve"> </t>
    </r>
    <r>
      <rPr>
        <u/>
        <sz val="11"/>
        <rFont val="Arial"/>
        <family val="2"/>
      </rPr>
      <t xml:space="preserve">capacitacion@coparmexlaguna.org.mx; direccion@coparmexlaguna.org.mx; </t>
    </r>
  </si>
  <si>
    <t>844 134 8794
844 134 8795
844 488 4411
C. 844 277 3181</t>
  </si>
  <si>
    <t>844 415 7222
C. 844 129 9760</t>
  </si>
  <si>
    <t>844 415 1541
C. 844 359 8582</t>
  </si>
  <si>
    <t>844 134 5390 al 93
844 415 5611
C. 844 427 8427</t>
  </si>
  <si>
    <t>844 415 5038
C. 844 362 7070
C. 844 427 1270</t>
  </si>
  <si>
    <t>C. 811 020 4673</t>
  </si>
  <si>
    <t>844 415 3412
844 416 2307
844 416 2310
844 415 8941
C. 844 196 9617</t>
  </si>
  <si>
    <t>844 906 0357</t>
  </si>
  <si>
    <t>869 696 0667
866 112 3438
844 416 6636
844 134 5138
Asoc. 844 415 3107</t>
  </si>
  <si>
    <t>844 415 2720
844 415 2787</t>
  </si>
  <si>
    <t>844 432 3690
844 432 3691
C. 844 348 1109</t>
  </si>
  <si>
    <t>844 450 3019 Asociación
C. 844 280 6711 </t>
  </si>
  <si>
    <t>844 280 0021
844 485 4698
C. 844 280 0021</t>
  </si>
  <si>
    <t>844 285 9881
844 415 3614</t>
  </si>
  <si>
    <t>871 192 9415
OFICINA PARTICULAR
871 717 5194</t>
  </si>
  <si>
    <t>844 412 4124
866 115 0903</t>
  </si>
  <si>
    <t>Cuestionario</t>
  </si>
  <si>
    <t>Empresas</t>
  </si>
  <si>
    <t xml:space="preserve">Transportistas </t>
  </si>
  <si>
    <t>Comerciantes</t>
  </si>
  <si>
    <t>Agentes Aduanales</t>
  </si>
  <si>
    <t>Link</t>
  </si>
  <si>
    <t xml:space="preserve">Tipo_camara </t>
  </si>
  <si>
    <t>Encuesta_agremiados</t>
  </si>
  <si>
    <t>Transportistas</t>
  </si>
  <si>
    <t>Index</t>
  </si>
  <si>
    <t>no contestan</t>
  </si>
  <si>
    <t>es correcta la información</t>
  </si>
  <si>
    <t>ocvpiedrasnegras@gmail.com</t>
  </si>
  <si>
    <t>enviar correo vinculacion</t>
  </si>
  <si>
    <t xml:space="preserve"> </t>
  </si>
  <si>
    <t>ING. KARLA CADENA ACOSTA correo canacintrapiedrasnegras@hotmail.com</t>
  </si>
  <si>
    <t>Lic. Cuauhtemoc Hernández</t>
  </si>
  <si>
    <t>hdzcastillayasociados@gmail.com</t>
  </si>
  <si>
    <t xml:space="preserve">TRINIDAD HERRERA PRESIDENTE </t>
  </si>
  <si>
    <t>asociaciondemaquiladorasac@gmail.com</t>
  </si>
  <si>
    <t>TOBY COGGINS VICEPRESIDENTE</t>
  </si>
  <si>
    <t>turismocanaco@gmail.com</t>
  </si>
  <si>
    <t>turismo_carbonifera2@hotmail.com</t>
  </si>
  <si>
    <t>mandar al de hotmail el de prodigy no existe</t>
  </si>
  <si>
    <t>no contestan el teléfono terminación 2950 no está en serv. El c. al buzón</t>
  </si>
  <si>
    <t xml:space="preserve">terminación 1451 no contestan el c. es incorrecto </t>
  </si>
  <si>
    <t xml:space="preserve">enviar a correos alberto.ramos y produccion </t>
  </si>
  <si>
    <t>enviar correo protección2004</t>
  </si>
  <si>
    <t>Representante de la División ante Organismos Empresariales Región Centro</t>
  </si>
  <si>
    <t xml:space="preserve">Lic. Victor Nasip Harb Karam </t>
  </si>
  <si>
    <t>gerente.monclova@canacar.com.mx</t>
  </si>
  <si>
    <t>cambio de director es celular de la anterior llamar después</t>
  </si>
  <si>
    <t>mandar correo cesarcocr7@gmail.com</t>
  </si>
  <si>
    <t>datos correctos correo director</t>
  </si>
  <si>
    <t>datos correctos correo gerencia</t>
  </si>
  <si>
    <t>Correo es donatogutierrez@coconsa.com.mx</t>
  </si>
  <si>
    <t>cel. No exite el teléfono terminación 0015 no está en serv.</t>
  </si>
  <si>
    <t>LIC. EDUARDO NIETO MENDOZA</t>
  </si>
  <si>
    <t xml:space="preserve">no contestan </t>
  </si>
  <si>
    <t>no contestan el teléfono terminación 5194 no está en serv.</t>
  </si>
  <si>
    <t>LIC. MARCELA MARRERO SARQUIS</t>
  </si>
  <si>
    <t>no está en servicio</t>
  </si>
  <si>
    <t>no contestan buzón lleno</t>
  </si>
  <si>
    <t xml:space="preserve">mandar al correo de dirección </t>
  </si>
  <si>
    <r>
      <rPr>
        <sz val="11"/>
        <color rgb="FF0000FF"/>
        <rFont val="Arial"/>
        <family val="2"/>
      </rPr>
      <t>presidencia@coparmexlaguna.org.mx;</t>
    </r>
    <r>
      <rPr>
        <u/>
        <sz val="11"/>
        <color rgb="FF0000FF"/>
        <rFont val="Arial"/>
        <family val="2"/>
      </rPr>
      <t xml:space="preserve"> capacitacion@coparmexlaguna.org.mx; direccion@coparmexlaguna.org.mx; </t>
    </r>
  </si>
  <si>
    <t>direcciongeneral@canacotorreon.com.mx; asistentedireccion@canacotorreon.com.mx;</t>
  </si>
  <si>
    <t>mandar al correo de dirección el de torreon ya no existe</t>
  </si>
  <si>
    <t>el teléfono terminación 9881manda a buzón 3614 no es correcto</t>
  </si>
  <si>
    <t>no contestan el terminación 0021 no existe</t>
  </si>
  <si>
    <t>karla.afp@icloud.com</t>
  </si>
  <si>
    <t xml:space="preserve"> es coorecta la información</t>
  </si>
  <si>
    <t>manda al buzón</t>
  </si>
  <si>
    <t>el teléfono no está en servicio</t>
  </si>
  <si>
    <t>844 430 9215</t>
  </si>
  <si>
    <t>no entra la llamada</t>
  </si>
  <si>
    <t>es correcta la información pero mandar el correo el martes porque estara fuera el Director</t>
  </si>
  <si>
    <t>KARLA</t>
  </si>
  <si>
    <t>CADENA</t>
  </si>
  <si>
    <t>ACOSTA</t>
  </si>
  <si>
    <t>canacintrapiedrasnegras@hotmail.com</t>
  </si>
  <si>
    <t>MARCELA</t>
  </si>
  <si>
    <t>MARRERO</t>
  </si>
  <si>
    <t>SARQUIS</t>
  </si>
  <si>
    <t>EDUARDO</t>
  </si>
  <si>
    <t>NIETO</t>
  </si>
  <si>
    <t>MENDOZA</t>
  </si>
  <si>
    <t>VICTOR NASIP</t>
  </si>
  <si>
    <t>HARB</t>
  </si>
  <si>
    <t>KARAM</t>
  </si>
  <si>
    <t>COGGINS</t>
  </si>
  <si>
    <t>TOBY</t>
  </si>
  <si>
    <t>TRINIDAD</t>
  </si>
  <si>
    <t>HERRERA</t>
  </si>
  <si>
    <t>Archivos Creados</t>
  </si>
  <si>
    <t>C:/Users/Brandon.Lopez/Documents/Trabajo/1906 Acuña/Cuestionarios empresas/Oficio para camaras/PDF/Oficio_1_ASOCIACION_DE_INDUSTRIALES_Y_EMPRESARIOS_DE_RAMOS_ARIZPE___A.C..pdf</t>
  </si>
  <si>
    <t>C:/Users/Brandon.Lopez/Documents/Trabajo/1906 Acuña/Cuestionarios empresas/Oficio para camaras/PDF/Oficio_2_CAMARA_NACIONAL_DE_LA_INDUSTRIA_DE_LA_TRANSFORMACION_DELEGACION_COAHUILA_SURESTE.pdf</t>
  </si>
  <si>
    <t>C:/Users/Brandon.Lopez/Documents/Trabajo/1906 Acuña/Cuestionarios empresas/Oficio para camaras/PDF/Oficio_3_CAMARA_MEXICANA_DE_LA_INDUSTRIA_DE_LA_CONSTRUCCION_DELEGACION_COAHUILA_SURESTE_.pdf</t>
  </si>
  <si>
    <t>C:/Users/Brandon.Lopez/Documents/Trabajo/1906 Acuña/Cuestionarios empresas/Oficio para camaras/PDF/Oficio_4_CAMARA_NACIONAL_DE_COMERCIO__SERVICIOS_Y_TURISMO_DE_SALTILLO___FECADECO.pdf</t>
  </si>
  <si>
    <t>C:/Users/Brandon.Lopez/Documents/Trabajo/1906 Acuña/Cuestionarios empresas/Oficio para camaras/PDF/Oficio_5_CAMARA_NACIONAL_DE_LA_INDUSTRIA_DE_RESTAURANTES_Y_ALIMENTOS_CONDIMENTADOS_SALTILLO.pdf</t>
  </si>
  <si>
    <t>C:/Users/Brandon.Lopez/Documents/Trabajo/1906 Acuña/Cuestionarios empresas/Oficio para camaras/PDF/Oficio_6_CANADEVI_COAHUILA.pdf</t>
  </si>
  <si>
    <t>C:/Users/Brandon.Lopez/Documents/Trabajo/1906 Acuña/Cuestionarios empresas/Oficio para camaras/PDF/Oficio_7_COPARMEX_COAHUILA_SURESTE.pdf</t>
  </si>
  <si>
    <t>C:/Users/Brandon.Lopez/Documents/Trabajo/1906 Acuña/Cuestionarios empresas/Oficio para camaras/PDF/Oficio_8_CANACAR.pdf</t>
  </si>
  <si>
    <t>C:/Users/Brandon.Lopez/Documents/Trabajo/1906 Acuña/Cuestionarios empresas/Oficio para camaras/PDF/Oficio_9_CANACAR.pdf</t>
  </si>
  <si>
    <t>C:/Users/Brandon.Lopez/Documents/Trabajo/1906 Acuña/Cuestionarios empresas/Oficio para camaras/PDF/Oficio_10_CÁMARA_DE_LA_PROPIEDAD_INMOBILIARIA_COAHUILA_SURESTE_A.C._(CAPI).pdf</t>
  </si>
  <si>
    <t>C:/Users/Brandon.Lopez/Documents/Trabajo/1906 Acuña/Cuestionarios empresas/Oficio para camaras/PDF/Oficio_11_ASOCIACIÓN_MEXICANA_DE_HOTELES_Y_MOTELES_DE_COAHUILA.pdf</t>
  </si>
  <si>
    <t>C:/Users/Brandon.Lopez/Documents/Trabajo/1906 Acuña/Cuestionarios empresas/Oficio para camaras/PDF/Oficio_12_CLÚSTER_DE_ENERGIA_COAHUILA__A.C..pdf</t>
  </si>
  <si>
    <t>C:/Users/Brandon.Lopez/Documents/Trabajo/1906 Acuña/Cuestionarios empresas/Oficio para camaras/PDF/Oficio_13_VINOS_DE_COAHUILA_PROVICO__A.C._.pdf</t>
  </si>
  <si>
    <t>C:/Users/Brandon.Lopez/Documents/Trabajo/1906 Acuña/Cuestionarios empresas/Oficio para camaras/PDF/Oficio_14_CAMARA_NACIONAL_DEL_ALUMINIO.pdf</t>
  </si>
  <si>
    <t>C:/Users/Brandon.Lopez/Documents/Trabajo/1906 Acuña/Cuestionarios empresas/Oficio para camaras/PDF/Oficio_15_CANACINTRA_TORREON.pdf</t>
  </si>
  <si>
    <t>C:/Users/Brandon.Lopez/Documents/Trabajo/1906 Acuña/Cuestionarios empresas/Oficio para camaras/PDF/Oficio_16_CAMARA_DE_LA_PROPIEDAD_URBANA_DE_TORREON___A.C..pdf</t>
  </si>
  <si>
    <t>C:/Users/Brandon.Lopez/Documents/Trabajo/1906 Acuña/Cuestionarios empresas/Oficio para camaras/PDF/Oficio_17_CANACAR_REGIÓN_LAGUNA_.pdf</t>
  </si>
  <si>
    <t>C:/Users/Brandon.Lopez/Documents/Trabajo/1906 Acuña/Cuestionarios empresas/Oficio para camaras/PDF/Oficio_18_CANACAR_REGIÓN_LAGUNA_.pdf</t>
  </si>
  <si>
    <t>C:/Users/Brandon.Lopez/Documents/Trabajo/1906 Acuña/Cuestionarios empresas/Oficio para camaras/PDF/Oficio_19_CANACO_TORREON_.pdf</t>
  </si>
  <si>
    <t>C:/Users/Brandon.Lopez/Documents/Trabajo/1906 Acuña/Cuestionarios empresas/Oficio para camaras/PDF/Oficio_20_FOMENTO_ECONÓMICO_LAGUNA__A.C._.pdf</t>
  </si>
  <si>
    <t>C:/Users/Brandon.Lopez/Documents/Trabajo/1906 Acuña/Cuestionarios empresas/Oficio para camaras/PDF/Oficio_21_COPARMEX_DELEGACIÓN_LAGUNA.pdf</t>
  </si>
  <si>
    <t>C:/Users/Brandon.Lopez/Documents/Trabajo/1906 Acuña/Cuestionarios empresas/Oficio para camaras/PDF/Oficio_22_CÁMARA_NACIONAL_DE_LA_INDUSTRIA_DEL_VESTIDO_DELEGACIÓN_LAGUNA.pdf</t>
  </si>
  <si>
    <t>C:/Users/Brandon.Lopez/Documents/Trabajo/1906 Acuña/Cuestionarios empresas/Oficio para camaras/PDF/Oficio_23_CANACO_SAN_PEDRO.pdf</t>
  </si>
  <si>
    <t>C:/Users/Brandon.Lopez/Documents/Trabajo/1906 Acuña/Cuestionarios empresas/Oficio para camaras/PDF/Oficio_24_CANACINTRA.pdf</t>
  </si>
  <si>
    <t>C:/Users/Brandon.Lopez/Documents/Trabajo/1906 Acuña/Cuestionarios empresas/Oficio para camaras/PDF/Oficio_25_CÁMARA_AGRÍCOLA_Y_GANADERA_DE_TORREÓN__A.C..pdf</t>
  </si>
  <si>
    <t>C:/Users/Brandon.Lopez/Documents/Trabajo/1906 Acuña/Cuestionarios empresas/Oficio para camaras/PDF/Oficio_26__CLUSTER_AUTOMOTRIZ_LAGUNA.pdf</t>
  </si>
  <si>
    <t>C:/Users/Brandon.Lopez/Documents/Trabajo/1906 Acuña/Cuestionarios empresas/Oficio para camaras/PDF/Oficio_27_CANADEVI_DELEGACIÓN_COMARCA_LAGUNERA.pdf</t>
  </si>
  <si>
    <t>C:/Users/Brandon.Lopez/Documents/Trabajo/1906 Acuña/Cuestionarios empresas/Oficio para camaras/PDF/Oficio_28_CANACO_MATAMOROS.pdf</t>
  </si>
  <si>
    <t>C:/Users/Brandon.Lopez/Documents/Trabajo/1906 Acuña/Cuestionarios empresas/Oficio para camaras/PDF/Oficio_29_CANIRAC.pdf</t>
  </si>
  <si>
    <t>C:/Users/Brandon.Lopez/Documents/Trabajo/1906 Acuña/Cuestionarios empresas/Oficio para camaras/PDF/Oficio_30_CANIETI_COAHUILA-DURANGO.pdf</t>
  </si>
  <si>
    <t>C:/Users/Brandon.Lopez/Documents/Trabajo/1906 Acuña/Cuestionarios empresas/Oficio para camaras/PDF/Oficio_31_CANACO_MADERO.pdf</t>
  </si>
  <si>
    <t>C:/Users/Brandon.Lopez/Documents/Trabajo/1906 Acuña/Cuestionarios empresas/Oficio para camaras/PDF/Oficio_32_CÁMARA_MEXICANA_DE_LA_INDUSTRIA_DE_LA_CONSTRUCCIÓN_DELEGACIÓN_COMARCA_LAGUNERA__COAHUILA_Y_DURANGO.pdf</t>
  </si>
  <si>
    <t>C:/Users/Brandon.Lopez/Documents/Trabajo/1906 Acuña/Cuestionarios empresas/Oficio para camaras/PDF/Oficio_33_CMIC__COAHUILA_CENTRO-NORTE.pdf</t>
  </si>
  <si>
    <t>C:/Users/Brandon.Lopez/Documents/Trabajo/1906 Acuña/Cuestionarios empresas/Oficio para camaras/PDF/Oficio_34_CANACO_SERVYTUR_MONCLOVA.pdf</t>
  </si>
  <si>
    <t>C:/Users/Brandon.Lopez/Documents/Trabajo/1906 Acuña/Cuestionarios empresas/Oficio para camaras/PDF/Oficio_35_CANACINTRA_MONCLOVA.pdf</t>
  </si>
  <si>
    <t>C:/Users/Brandon.Lopez/Documents/Trabajo/1906 Acuña/Cuestionarios empresas/Oficio para camaras/PDF/Oficio_36_UNION_DE_ORGANISMOS_EMPRESARIALES_DEL_CENTRO_DEL_ESTADO_DE_COAHUILA__A.C..pdf</t>
  </si>
  <si>
    <t>C:/Users/Brandon.Lopez/Documents/Trabajo/1906 Acuña/Cuestionarios empresas/Oficio para camaras/PDF/Oficio_37_CÁMARA_DE_LA_PROPIEDAD_URBANA_DE_MONCLOVA.pdf</t>
  </si>
  <si>
    <t>C:/Users/Brandon.Lopez/Documents/Trabajo/1906 Acuña/Cuestionarios empresas/Oficio para camaras/PDF/Oficio_38_CANACO_FRONTERA.pdf</t>
  </si>
  <si>
    <t>C:/Users/Brandon.Lopez/Documents/Trabajo/1906 Acuña/Cuestionarios empresas/Oficio para camaras/PDF/Oficio_39_COPARMEX_MONCLOVA.pdf</t>
  </si>
  <si>
    <t>C:/Users/Brandon.Lopez/Documents/Trabajo/1906 Acuña/Cuestionarios empresas/Oficio para camaras/PDF/Oficio_40_CAMARA_DE_LA_INDUSTRIA_DE_LA_RADIO_Y_LA_TELEVISION.pdf</t>
  </si>
  <si>
    <t>C:/Users/Brandon.Lopez/Documents/Trabajo/1906 Acuña/Cuestionarios empresas/Oficio para camaras/PDF/Oficio_41_CONSEJO_EMPRESARIAL_SABINAS_.pdf</t>
  </si>
  <si>
    <t>C:/Users/Brandon.Lopez/Documents/Trabajo/1906 Acuña/Cuestionarios empresas/Oficio para camaras/PDF/Oficio_42_CONSEJO_EMPRESARIAL_SABINAS_.pdf</t>
  </si>
  <si>
    <t>C:/Users/Brandon.Lopez/Documents/Trabajo/1906 Acuña/Cuestionarios empresas/Oficio para camaras/PDF/Oficio_43_UNION_MEXICANA_DE_PRODUCTORES_DE_CARBON__A.C._.pdf</t>
  </si>
  <si>
    <t>C:/Users/Brandon.Lopez/Documents/Trabajo/1906 Acuña/Cuestionarios empresas/Oficio para camaras/PDF/Oficio_44_UNION_NACIONAL_DE_PRODUCTORES_DE_CARBON_.pdf</t>
  </si>
  <si>
    <t>C:/Users/Brandon.Lopez/Documents/Trabajo/1906 Acuña/Cuestionarios empresas/Oficio para camaras/PDF/Oficio_45_CANACO_SERVYTUR_SABINAS.pdf</t>
  </si>
  <si>
    <t>C:/Users/Brandon.Lopez/Documents/Trabajo/1906 Acuña/Cuestionarios empresas/Oficio para camaras/PDF/Oficio_46_CANACO_NUEVA_ROSITA.pdf</t>
  </si>
  <si>
    <t>C:/Users/Brandon.Lopez/Documents/Trabajo/1906 Acuña/Cuestionarios empresas/Oficio para camaras/PDF/Oficio_47_CANACINTRA_DELEGACION_ACUÑA_.pdf</t>
  </si>
  <si>
    <t>C:/Users/Brandon.Lopez/Documents/Trabajo/1906 Acuña/Cuestionarios empresas/Oficio para camaras/PDF/Oficio_48_CANACO_SERVYTUR_ACUÑA.pdf</t>
  </si>
  <si>
    <t>C:/Users/Brandon.Lopez/Documents/Trabajo/1906 Acuña/Cuestionarios empresas/Oficio para camaras/PDF/Oficio_49_COMITÉ_DE_DESARROLLO_ECONÓMICO.pdf</t>
  </si>
  <si>
    <t>C:/Users/Brandon.Lopez/Documents/Trabajo/1906 Acuña/Cuestionarios empresas/Oficio para camaras/PDF/Oficio_50_ASOCIACIÓN_DE_MAQUILADORAS_DE_ACUÑA__A.C._(INDEX).pdf</t>
  </si>
  <si>
    <t>C:/Users/Brandon.Lopez/Documents/Trabajo/1906 Acuña/Cuestionarios empresas/Oficio para camaras/PDF/Oficio_51_ASOCIACIÓN_DE_MAQUILADORAS_DE_ACUÑA__A.C._(INDEX).pdf</t>
  </si>
  <si>
    <t>C:/Users/Brandon.Lopez/Documents/Trabajo/1906 Acuña/Cuestionarios empresas/Oficio para camaras/PDF/Oficio_52_UNION_DE_ORGANISMOS_EMPRESARIALES_.pdf</t>
  </si>
  <si>
    <t>C:/Users/Brandon.Lopez/Documents/Trabajo/1906 Acuña/Cuestionarios empresas/Oficio para camaras/PDF/Oficio_53_CANACO_PIEDRAS_NEGRAS.pdf</t>
  </si>
  <si>
    <t>C:/Users/Brandon.Lopez/Documents/Trabajo/1906 Acuña/Cuestionarios empresas/Oficio para camaras/PDF/Oficio_54_CANACINTRA_DELEGACIÓN_PIEDRAS_NEGRAS.pdf</t>
  </si>
  <si>
    <t>C:/Users/Brandon.Lopez/Documents/Trabajo/1906 Acuña/Cuestionarios empresas/Oficio para camaras/PDF/Oficio_55_CONSEJO_DE_FOMENTO_ECONOMICO_DE_PIEDRAS_NEGRAS.pdf</t>
  </si>
  <si>
    <t>C:/Users/Brandon.Lopez/Documents/Trabajo/1906 Acuña/Cuestionarios empresas/Oficio para camaras/PDF/Oficio_56_INDEX_PIEDRAS_NEGRAS.pdf</t>
  </si>
  <si>
    <t>C:/Users/Brandon.Lopez/Documents/Trabajo/1906 Acuña/Cuestionarios empresas/Oficio para camaras/PDF/Oficio_57_ASOCIACIÓN_DE_AGENTES_ADUANALES_DE_PIEDRAS_NEGRAS__A.C..pdf</t>
  </si>
  <si>
    <t>C:/Users/Brandon.Lopez/Documents/Trabajo/1906 Acuña/Cuestionarios empresas/Oficio para camaras/PDF/Oficio_58_ASOCIACION_DE_AGENTES_ADUANALES_DE_ACUÑA.pdf</t>
  </si>
  <si>
    <t>direccion@canacintratorreon.org</t>
  </si>
  <si>
    <t>donatogutierrez@coconsa.com.mx</t>
  </si>
  <si>
    <t>cesarcocr7@gmail.com</t>
  </si>
  <si>
    <t>proteccion2004@gmail.com</t>
  </si>
  <si>
    <t>alberto.ramos@mineralesmirasa.com</t>
  </si>
  <si>
    <t xml:space="preserve">turismo_carbonifera2@hotmail.com; </t>
  </si>
  <si>
    <t>destinatario</t>
  </si>
  <si>
    <t>Nombre Cliente</t>
  </si>
  <si>
    <t>Copia</t>
  </si>
  <si>
    <t>Copia Oculta</t>
  </si>
  <si>
    <t>Asunto</t>
  </si>
  <si>
    <t>Mensaje (Body)</t>
  </si>
  <si>
    <t>Adjunto 2</t>
  </si>
  <si>
    <t>Adjunto 1</t>
  </si>
  <si>
    <t>luis.urrazadugay@gmail.com</t>
  </si>
  <si>
    <r>
      <t>FOA Consultores</t>
    </r>
    <r>
      <rPr>
        <sz val="11"/>
        <color rgb="FF000000"/>
        <rFont val="Arial"/>
        <family val="2"/>
      </rPr>
      <t xml:space="preserve"> es una firma de consultoría mexicana que ha sido contratada por la </t>
    </r>
    <r>
      <rPr>
        <b/>
        <sz val="11"/>
        <rFont val="Arial"/>
        <family val="2"/>
      </rPr>
      <t xml:space="preserve">Secretaría de Infraestructura, Desarrollo Urbano y Movilidad (SIDUM) del Estado de Coahuila de Zaragoza </t>
    </r>
    <r>
      <rPr>
        <sz val="11"/>
        <color rgb="FF000000"/>
        <rFont val="Arial"/>
        <family val="2"/>
      </rPr>
      <t>para el estudio de “</t>
    </r>
    <r>
      <rPr>
        <b/>
        <sz val="11"/>
        <rFont val="Arial"/>
        <family val="2"/>
      </rPr>
      <t xml:space="preserve">Alternativas de </t>
    </r>
    <r>
      <rPr>
        <b/>
        <sz val="11"/>
        <color rgb="FF040303"/>
        <rFont val="Arial"/>
        <family val="2"/>
      </rPr>
      <t>mejora a las redes de infraestructura, equipamiento urbano, social y ambiental del área del cruce fronterizo entre Ciudad Acuña, Coahuila y Del Río, Texas.</t>
    </r>
    <r>
      <rPr>
        <b/>
        <sz val="11"/>
        <rFont val="Arial"/>
        <family val="2"/>
      </rPr>
      <t>”</t>
    </r>
    <r>
      <rPr>
        <b/>
        <sz val="11"/>
        <color rgb="FF000000"/>
        <rFont val="Arial"/>
        <family val="2"/>
      </rPr>
      <t>.</t>
    </r>
    <r>
      <rPr>
        <sz val="11"/>
        <color rgb="FF000000"/>
        <rFont val="Arial"/>
        <family val="2"/>
      </rPr>
      <t xml:space="preserve"> Por este motivo, SIDUM encomendó a FOA recabar la opinión de los </t>
    </r>
    <r>
      <rPr>
        <sz val="11"/>
        <rFont val="Arial"/>
        <family val="2"/>
      </rPr>
      <t>usuarios de los puentes fronterizos, buscando con ello brindarles las mejores condiciones operativas y logísticas. Igualmente, la Secretaría de Economía del Estado de Coahuila nos proporcionó sus datos, como una cámara comprometida con el desarrollo y que apoya las iniciativas.</t>
    </r>
  </si>
  <si>
    <r>
      <t xml:space="preserve">En concordancia con lo anterior FOA Consultores se asegura de que todas las áreas de la firma actúen con total integridad, es decir, con ausencia de actos de corrupción. Para soportarlo de forma consistente, nuestra empresa está certificada en la </t>
    </r>
    <r>
      <rPr>
        <i/>
        <sz val="11"/>
        <color rgb="FF000000"/>
        <rFont val="Arial"/>
        <family val="2"/>
      </rPr>
      <t>norma ISO-9001:2000 en Integridad de Gestión en Proyectos de Consultoría y en la norma ISO-37001:2016 en Sistema de Gestión Antisoborno.</t>
    </r>
  </si>
  <si>
    <t xml:space="preserve">presidencia@coparmexlaguna.org.mx; capacitacion@coparmexlaguna.org.mx; direccion@coparmexlaguna.org.mx; </t>
  </si>
  <si>
    <t xml:space="preserve">En el presente correo podrá encontrar:
• Oficio emitido por el Gobierno del Estado.
• Oficio emitido por FOA hacia su cámara.
• Invitación propuesta para que invite a sus agremiados.
</t>
  </si>
  <si>
    <t>Adjunto 3</t>
  </si>
  <si>
    <t>oficio</t>
  </si>
  <si>
    <t>C:/Users/Brandon.Lopez/Documents/Trabajo/1906 Acuña/Cuestionarios empresas/Oficio para camaras/PDF/SIDUM DPCC 018 2023.pdf</t>
  </si>
  <si>
    <t>https://forms.gle/83kUtEx8hSA39tgy7</t>
  </si>
  <si>
    <t>https://forms.gle/c3tZc4o6XfUuzPj2A</t>
  </si>
  <si>
    <t>https://forms.gle/jHH5VjT1WmWcRtWWA</t>
  </si>
  <si>
    <t>https://forms.gle/6MtmXcSL3NRdJKFf7</t>
  </si>
  <si>
    <t>https://forms.gle/ML9Kq1n2aGfQywZ56</t>
  </si>
  <si>
    <t>C:/Users/Brandon.Lopez/Documents/Trabajo/1906 Acuña/Cuestionarios empresas/Oficio para camaras/Propuesta de invitación Empresas.docx</t>
  </si>
  <si>
    <t>C:/Users/Brandon.Lopez/Documents/Trabajo/1906 Acuña/Cuestionarios empresas/Oficio para camaras/Propuesta de invitación Transportistas.docx</t>
  </si>
  <si>
    <t>C:/Users/Brandon.Lopez/Documents/Trabajo/1906 Acuña/Cuestionarios empresas/Oficio para camaras/Propuesta de invitación Comerciantes.docx</t>
  </si>
  <si>
    <t>C:/Users/Brandon.Lopez/Documents/Trabajo/1906 Acuña/Cuestionarios empresas/Oficio para camaras/Propuesta de invitación Agentes Aduanales.docx</t>
  </si>
  <si>
    <t>Encuesta Puente Fronterizo "Acuña II"</t>
  </si>
  <si>
    <t xml:space="preserve">guillermo.gonzalez@coahuila.gob.mx; fortalecimiento.municipal@acuna.gob.mx; fomento.economico@acuna.gob.mx; Alison Porras Sánchez &lt;alison.porras@foaconsulting.com&gt;;Dra. Paloma Salas &lt;psalas@foaconsulting.com&gt;
</t>
  </si>
  <si>
    <t>Estimado/a LIC. MÓNICA ROCÍO VILLARREAL SAUCEDA
 DIRECTORA GENERAL
 ASOCIACION DE INDUSTRIALES Y EMPRESARIOS DE RAMOS ARIZPE,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</si>
  <si>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MTRA. CYNTHIA ARRAZOLA OLLERVIDES
 DIRECTOR GENERAL
 CAMARA NACIONAL DE LA INDUSTRIA DE LA TRANSFORMACION DELEGACION COAHUILA SURESTE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</si>
  <si>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CATALINA NIÑO RODRÍGUEZ
 GERENTE
 CAMARA MEXICANA DE LA INDUSTRIA DE LA CONSTRUCCION DELEGACION COAHUILA SURESTE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</si>
  <si>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CÉSAR ARMANDO VALDÉS RAMOS
 DIRECTOR
 CAMARA NACIONAL DE COMERCIO, SERVICIOS Y TURISMO DE SALTILLO / FECADECO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</si>
  <si>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LUIS  TORRES ARZUAGA 
 DIRECCION
 CAMARA NACIONAL DE LA INDUSTRIA DE RESTAURANTES Y ALIMENTOS CONDIMENTADOS SALTILLO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</si>
  <si>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LORENA RODRÍGUEZ 
 GERENTE
 CANADEVI COAHUILA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</si>
  <si>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MIGUEL MONROY ROBLES
 DIRECTOR
 COPARMEX COAHUILA SURESTE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</si>
  <si>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SR. JUAN MANUEL RAMOS CANTÚ
 DELEGADO 
 CANACAR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anónima.:https://forms.gle/6MtmXcSL3NRdJKFf7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</si>
  <si>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SR. CARLOS JOSÉ RAMOS AGUIRRE
 GERENTE
 CANACAR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anónima.:https://forms.gle/6MtmXcSL3NRdJKFf7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</si>
  <si>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JOSE ANTONIO RODRÍGUEZ FUENTES
 PRESIDENTE
 CÁMARA DE LA PROPIEDAD INMOBILIARIA COAHUILA SURESTE A.C. (CAPI)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</si>
  <si>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LUIS GILBERTO GONZÁLEZ AROCHA
 PRESIDENTE
 ASOCIACIÓN MEXICANA DE HOTELES Y MOTELES DE COAHUILA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</si>
  <si>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DR. ROGELIO MONTEMAYOR SEGUY
 PRESIDENTE
 CLÚSTER DE ENERGIA COAHUILA,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</si>
  <si>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RICARDO SALDIVAR DÁVILA
 GERENTE
 VINOS DE COAHUILA PROVICO,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</si>
  <si>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HECTOR MEDRANO  FLORES
 DELEGADO EN COAHUILA
 CAMARA NACIONAL DEL ALUMINIO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</si>
  <si>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ALEJANDRA HURTADO HERNANDEZ
 DIRECCION GENERAL
 CANACINTRA TORREON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</si>
  <si>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C.P. ADEL  ALCALA HERNANDEZ
 PRESIDENTE
 CAMARA DE LA PROPIEDAD URBANA DE TORREON,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</si>
  <si>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ANTONIO MARIO DAVILA VILLAR
 DELEGADO
 CANACAR REGIÓN LAGUNA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anónima.:https://forms.gle/6MtmXcSL3NRdJKFf7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</si>
  <si>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THYRA ESTAVILLO BASURTO
 GERENTE
 CANACAR REGIÓN LAGUNA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anónima.:https://forms.gle/6MtmXcSL3NRdJKFf7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</si>
  <si>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CATALYNA AYLEMA RIVAS BUSTAMANTE
 DIRECTORA GENERAL
 CANACO TORREON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</si>
  <si>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TALIA ROMERO MUÑOZ
 DIRECTORA
 FOMENTO ECONÓMICO LAGUNA,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</si>
  <si>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FERNANDO CARILLO BALDERAS
 DIRECTOR
 COPARMEX DELEGACIÓN LAGUNA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</si>
  <si>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SR. LUIS JUAN MARCOS ISSA
 PRESIDENTE
 CÁMARA NACIONAL DE LA INDUSTRIA DEL VESTIDO DELEGACIÓN LAGUNA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</si>
  <si>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ABERLARDO ANTERO FERANDEZ CAVAZOS
 PRESIDENTE
 CANACO SAN PEDRO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</si>
  <si>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C.P. OSCAR SALOMON MILAN ABAD
 COORDINADOR NACIONAL DE ASESORES DE DELEGACIONES
 CANACINTRA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</si>
  <si>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MARIO IGNACIO VALDÉS  QUINTANILLA
 PRESIDENTE
 CÁMARA AGRÍCOLA Y GANADERA DE TORREÓN,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</si>
  <si>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MARIA LUISA MORALES SALAS
 DIRECTORA
  CLUSTER AUTOMOTRIZ LAGUNA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</si>
  <si>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MARCELA MARRERO SARQUIS
 DIRECTOR
 CANADEVI DELEGACIÓN COMARCA LAGUNERA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</si>
  <si>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OSCAR ALBERTO DE ÁVILA ALFARO
 PRESIDENTE
 CANACO MATAMOROS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</si>
  <si>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EDUARDO NIETO MENDOZA
 PRESIDENTE
 CANIRAC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</si>
  <si>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C.P. TANIA  LIMONES REYES
 DIRECTORA
 CANIETI COAHUILA-DURANGO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</si>
  <si>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PERLA GUADALUPE AGUILERA BAÑUELO
 PRESIDENTE
 CANACO MADERO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</si>
  <si>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DONATO GUTIÉRREZ GUTIERREZ
 PRESIDENTE
 CÁMARA MEXICANA DE LA INDUSTRIA DE LA CONSTRUCCIÓN DELEGACIÓN COMARCA LAGUNERA, COAHUILA Y DURANGO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</si>
  <si>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BONIFACIO URIBE RIOJAS
 GERENTE GENERAL
 CMIC, COAHUILA CENTRO-NORTE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</si>
  <si>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GABRIELA AVILA REBOLLOZO
 GERENTE ADMINISTRATIVO
 CANACO SERVYTUR MONCLOVA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</si>
  <si>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NORMA ALICIA CRUZ SÁNCHEZ
 DIRECTOR
 CANACINTRA MONCLOVA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</si>
  <si>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JOSÉ EDUARDO ARELLANO SUÁREZ
 PRESIDENTE
 UNION DE ORGANISMOS EMPRESARIALES DEL CENTRO DEL ESTADO DE COAHUILA,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</si>
  <si>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ALEJANDRO CORONADO RODRÍGUEZ
 PRESIDENTE
 CÁMARA DE LA PROPIEDAD URBANA DE MONCLOVA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</si>
  <si>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CÉSAR ORLANDO CHÁVEZ RAMÓN
 PRESIDENTE
 CANACO FRONTERA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</si>
  <si>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C.P. MIRIAM RODRÍGUEZ RODRÍGUEZ
 DIRECTORA
 COPARMEX MONCLOVA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</si>
  <si>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VICTOR NASIP HARB KARAM
 Representante de la División ante Organismos Empresariales Región Centro
 CAMARA DE LA INDUSTRIA DE LA RADIO Y LA TELEVISION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</si>
  <si>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SR. ALBERTO  LOZANO  VELAZQUEZ 
 PRESIDENTE FUNDADOR
 CONSEJO EMPRESARIAL SABINAS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</si>
  <si>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ALBERTO  RAMOS JIMENEZ
 PRESIDENTE
 CONSEJO EMPRESARIAL SABINAS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</si>
  <si>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JOSÉ BOGAR MONTEMAYOR GARZA
 PRESIDENTE
 UNION MEXICANA DE PRODUCTORES DE CARBON,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</si>
  <si>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CÉSAR LUIS CENICEROS MARÍN
 PRESIDENTE
 UNION NACIONAL DE PRODUCTORES DE CARBON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</si>
  <si>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GREGORIO GARZA BALLI
 PRESIDENTE
 CANACO SERVYTUR SABINAS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</si>
  <si>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C. ROSA GLORIA DE ARTEAGA 
 PRESIDENTE
 CANACO NUEVA ROSITA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</si>
  <si>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IRIS YANETH ARIAS MARTÍNEZ
 GERENTE
 CANACINTRA DELEGACION ACUÑA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</si>
  <si>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CARMEN CORNELIO VALLEJO
 DIRECTORA
 CANACO SERVYTUR ACUÑA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</si>
  <si>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MANUEL RAMÓN LOSOYA
 PRESIDENTE
 COMITÉ DE DESARROLLO ECONÓMICO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</si>
  <si>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SR. TOBY COGGINS 
 VICEPRESIDENTE DE LA ASOCIACIÓN
 ASOCIACIÓN DE MAQUILADORAS DE ACUÑA, A.C. (INDEX)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</si>
  <si>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LIC. TRINIDAD HERRERA 
 DIRECTOR DE LA ASOCIACIÓN
 ASOCIACIÓN DE MAQUILADORAS DE ACUÑA, A.C. (INDEX)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</si>
  <si>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ANTONIO RODRIGUEZ  GUAJARDO
 PRESIDENTE
 UNION DE ORGANISMOS EMPRESARIALES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</si>
  <si>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KORAYMA SELENY GARCÍA GONZÁLEZ
 GERENTE
 CANACO PIEDRAS NEGRAS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</si>
  <si>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KARLA CADENA ACOSTA
 GERENTE GENERAL
 CANACINTRA DELEGACIÓN PIEDRAS NEGRAS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</si>
  <si>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ING. MORRIS  LIBSON  VALDES
 PRESIDENTE
 CONSEJO DE FOMENTO ECONOMICO DE PIEDRAS NEGRAS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</si>
  <si>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C.P. GUSTAVO  GUTIÉRREZ GARCIA   
 PRESIDENTE 
 INDEX PIEDRAS NEGRAS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</si>
  <si>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C.P. JUAN   GONZÁLEZ RODRÍGUEZ
 GERENTE
 ASOCIACIÓN DE AGENTES ADUANALES DE PIEDRAS NEGRAS,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anónima.:https://forms.gle/ML9Kq1n2aGfQywZ56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</si>
  <si>
    <t>Estimado/a C.P. YOLANDA ESTHELA CALDERÓN AMEZCUA
 PRESIDENTE
 ASOCIACION DE AGENTES ADUANALES DE ACUÑA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anónima.:https://forms.gle/ML9Kq1n2aGfQywZ56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</si>
</sst>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name val="Calibri"/>
      <scheme val="minor"/>
    </font>
    <font>
      <u/>
      <sz val="11"/>
      <color theme="10"/>
      <name val="Calibri"/>
      <family val="2"/>
      <scheme val="minor"/>
    </font>
    <font>
      <sz val="11"/>
      <color rgb="FF000000"/>
      <name val="Arial"/>
      <family val="2"/>
    </font>
    <font>
      <sz val="11"/>
      <name val="Arial"/>
      <family val="2"/>
    </font>
    <font>
      <u/>
      <sz val="11"/>
      <color rgb="FF0000FF"/>
      <name val="Arial"/>
      <family val="2"/>
    </font>
    <font>
      <u/>
      <sz val="11"/>
      <color rgb="FFFF0000"/>
      <name val="Arial"/>
      <family val="2"/>
    </font>
    <font>
      <b/>
      <sz val="11"/>
      <name val="Arial"/>
      <family val="2"/>
    </font>
    <font>
      <b/>
      <sz val="11"/>
      <color rgb="FFFFFFFF"/>
      <name val="Arial"/>
      <family val="2"/>
    </font>
    <font>
      <b/>
      <sz val="24"/>
      <name val="Arial"/>
      <family val="2"/>
    </font>
    <font>
      <u/>
      <sz val="11"/>
      <color theme="10"/>
      <name val="Arial"/>
      <family val="2"/>
    </font>
    <font>
      <u/>
      <sz val="11"/>
      <name val="Arial"/>
      <family val="2"/>
    </font>
    <font>
      <i/>
      <sz val="11"/>
      <name val="Arial"/>
      <family val="2"/>
    </font>
    <font>
      <sz val="24"/>
      <name val="Arial"/>
      <family val="2"/>
    </font>
    <font>
      <sz val="11"/>
      <name val="Calibri"/>
      <family val="2"/>
      <scheme val="minor"/>
    </font>
    <font>
      <sz val="11"/>
      <color rgb="FF0000FF"/>
      <name val="Arial"/>
      <family val="2"/>
    </font>
    <font>
      <sz val="11"/>
      <color rgb="FFFF0000"/>
      <name val="Arial"/>
      <family val="2"/>
    </font>
    <font>
      <sz val="24"/>
      <color rgb="FF0000FF"/>
      <name val="Arial"/>
      <family val="2"/>
    </font>
    <font>
      <b/>
      <sz val="11"/>
      <name val="Calibri"/>
      <family val="2"/>
    </font>
    <font>
      <sz val="11"/>
      <name val="Calibri"/>
      <family val="2"/>
      <scheme val="minor"/>
    </font>
    <font>
      <u/>
      <sz val="11"/>
      <color theme="10"/>
      <name val="Calibri"/>
      <family val="2"/>
      <scheme val="minor"/>
    </font>
    <font>
      <b/>
      <sz val="11"/>
      <color rgb="FF000000"/>
      <name val="Arial"/>
      <family val="2"/>
    </font>
    <font>
      <b/>
      <sz val="11"/>
      <color rgb="FF040303"/>
      <name val="Arial"/>
      <family val="2"/>
    </font>
    <font>
      <i/>
      <sz val="11"/>
      <color rgb="FF000000"/>
      <name val="Arial"/>
      <family val="2"/>
    </font>
  </fonts>
  <fills count="5">
    <fill>
      <patternFill patternType="none"/>
    </fill>
    <fill>
      <patternFill patternType="gray125"/>
    </fill>
    <fill>
      <patternFill patternType="solid">
        <fgColor rgb="FFE36C09"/>
        <bgColor rgb="FFE36C09"/>
      </patternFill>
    </fill>
    <fill>
      <patternFill patternType="solid">
        <fgColor rgb="FFE26B0A"/>
        <bgColor rgb="FFE26B0A"/>
      </patternFill>
    </fill>
    <fill>
      <patternFill patternType="solid">
        <fgColor rgb="FFFFFF00"/>
        <bgColor indexed="64"/>
      </patternFill>
    </fill>
  </fills>
  <borders count="9">
    <border>
      <left/>
      <right/>
      <top/>
      <bottom/>
      <diagonal/>
    </border>
    <border>
      <left style="thin">
        <color rgb="FF000000"/>
      </left>
      <right style="thin">
        <color rgb="FF000000"/>
      </right>
      <top style="thin">
        <color rgb="FF000000"/>
      </top>
      <bottom style="thin">
        <color rgb="FF000000"/>
      </bottom>
      <diagonal/>
    </border>
    <border>
      <left/>
      <right/>
      <top/>
      <bottom/>
      <diagonal/>
    </border>
    <border>
      <left/>
      <right/>
      <top/>
      <bottom style="thin">
        <color rgb="FF000000"/>
      </bottom>
      <diagonal/>
    </border>
    <border>
      <left/>
      <right style="thin">
        <color rgb="FF000000"/>
      </right>
      <top style="thin">
        <color rgb="FF000000"/>
      </top>
      <bottom style="thin">
        <color rgb="FF000000"/>
      </bottom>
      <diagonal/>
    </border>
    <border>
      <left/>
      <right/>
      <top/>
      <bottom/>
      <diagonal/>
    </border>
    <border>
      <left style="thin">
        <color indexed="64"/>
      </left>
      <right style="thin">
        <color indexed="64"/>
      </right>
      <top style="thin">
        <color indexed="64"/>
      </top>
      <bottom style="thin">
        <color indexed="64"/>
      </bottom>
      <diagonal/>
    </border>
    <border>
      <left style="thin">
        <color rgb="FF000000"/>
      </left>
      <right/>
      <top/>
      <bottom style="thin">
        <color rgb="FF000000"/>
      </bottom>
      <diagonal/>
    </border>
    <border>
      <left style="thin">
        <color rgb="FF000000"/>
      </left>
      <right/>
      <top/>
      <bottom/>
      <diagonal/>
    </border>
  </borders>
  <cellStyleXfs count="4">
    <xf numFmtId="0" fontId="0" fillId="0" borderId="0"/>
    <xf numFmtId="0" fontId="1" fillId="0" borderId="0" applyNumberFormat="0" applyFill="0" applyBorder="0" applyAlignment="0" applyProtection="0"/>
    <xf numFmtId="0" fontId="13" fillId="0" borderId="5"/>
    <xf numFmtId="0" fontId="1" fillId="0" borderId="5" applyNumberFormat="0" applyFill="0" applyBorder="0" applyAlignment="0" applyProtection="0"/>
  </cellStyleXfs>
  <cellXfs count="103">
    <xf numFmtId="0" fontId="0" fillId="0" borderId="0" xfId="0"/>
    <xf numFmtId="0" fontId="2" fillId="0" borderId="1" xfId="0" applyFont="1" applyBorder="1" applyAlignment="1">
      <alignment horizontal="center" vertical="center"/>
    </xf>
    <xf numFmtId="0" fontId="2" fillId="0" borderId="1" xfId="0" applyFont="1" applyBorder="1" applyAlignment="1">
      <alignment horizontal="center" vertical="center" wrapText="1"/>
    </xf>
    <xf numFmtId="0" fontId="3" fillId="0" borderId="1" xfId="0" applyFont="1" applyBorder="1" applyAlignment="1">
      <alignment horizontal="center" vertical="center" wrapText="1"/>
    </xf>
    <xf numFmtId="0" fontId="4"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2" xfId="0" applyFont="1" applyBorder="1" applyAlignment="1">
      <alignment horizontal="center" vertical="center" wrapText="1"/>
    </xf>
    <xf numFmtId="0" fontId="7" fillId="0" borderId="2" xfId="0" applyFont="1" applyBorder="1" applyAlignment="1">
      <alignment horizontal="center" vertical="center" wrapText="1"/>
    </xf>
    <xf numFmtId="0" fontId="3" fillId="0" borderId="1" xfId="0" applyFont="1" applyFill="1" applyBorder="1" applyAlignment="1">
      <alignment horizontal="center" vertical="center" wrapText="1"/>
    </xf>
    <xf numFmtId="0" fontId="2" fillId="0" borderId="6" xfId="0" applyFont="1" applyBorder="1" applyAlignment="1">
      <alignment horizontal="center" vertical="center"/>
    </xf>
    <xf numFmtId="0" fontId="2" fillId="0" borderId="6" xfId="0" applyFont="1" applyBorder="1" applyAlignment="1">
      <alignment horizontal="center" vertical="center" wrapText="1"/>
    </xf>
    <xf numFmtId="0" fontId="3" fillId="0" borderId="6" xfId="0" applyFont="1" applyBorder="1" applyAlignment="1">
      <alignment horizontal="center" vertical="center" wrapText="1"/>
    </xf>
    <xf numFmtId="0" fontId="4" fillId="0" borderId="6" xfId="0" applyFont="1" applyBorder="1" applyAlignment="1">
      <alignment horizontal="center" vertical="center" wrapText="1"/>
    </xf>
    <xf numFmtId="0" fontId="3" fillId="0" borderId="6" xfId="0" applyFont="1" applyBorder="1" applyAlignment="1">
      <alignment horizontal="center" vertical="center"/>
    </xf>
    <xf numFmtId="0" fontId="3" fillId="0" borderId="6" xfId="0" applyFont="1" applyFill="1" applyBorder="1" applyAlignment="1">
      <alignment horizontal="center" vertical="center" wrapText="1"/>
    </xf>
    <xf numFmtId="0" fontId="4" fillId="0" borderId="6"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2" borderId="6" xfId="0" applyFont="1" applyFill="1" applyBorder="1" applyAlignment="1">
      <alignment horizontal="center" vertical="center" wrapText="1"/>
    </xf>
    <xf numFmtId="0" fontId="9" fillId="0" borderId="6" xfId="1" applyFont="1" applyBorder="1" applyAlignment="1">
      <alignment horizontal="center" vertical="center" wrapText="1"/>
    </xf>
    <xf numFmtId="0" fontId="3" fillId="0" borderId="0" xfId="0" applyFont="1" applyAlignment="1">
      <alignment horizontal="center" vertical="center"/>
    </xf>
    <xf numFmtId="0" fontId="7" fillId="3" borderId="4" xfId="0" applyFont="1" applyFill="1" applyBorder="1" applyAlignment="1">
      <alignment horizontal="center" vertical="center" wrapText="1"/>
    </xf>
    <xf numFmtId="0" fontId="11" fillId="0" borderId="1" xfId="0" applyFont="1" applyBorder="1" applyAlignment="1">
      <alignment horizontal="center" vertical="center" wrapText="1"/>
    </xf>
    <xf numFmtId="0" fontId="4" fillId="0" borderId="0" xfId="0" applyFont="1" applyAlignment="1">
      <alignment horizontal="center" vertical="center" wrapText="1"/>
    </xf>
    <xf numFmtId="0" fontId="10" fillId="0" borderId="1" xfId="0" applyFont="1" applyBorder="1" applyAlignment="1">
      <alignment horizontal="center" vertical="center" wrapText="1"/>
    </xf>
    <xf numFmtId="0" fontId="10" fillId="0" borderId="1" xfId="0" applyFont="1" applyBorder="1" applyAlignment="1">
      <alignment horizontal="center" vertical="center"/>
    </xf>
    <xf numFmtId="0" fontId="12" fillId="0" borderId="0" xfId="0" applyFont="1" applyAlignment="1">
      <alignment horizontal="center" vertical="center"/>
    </xf>
    <xf numFmtId="0" fontId="6" fillId="0" borderId="7" xfId="0" applyFont="1" applyBorder="1" applyAlignment="1">
      <alignment horizontal="center" vertical="center" wrapText="1"/>
    </xf>
    <xf numFmtId="0" fontId="3" fillId="0" borderId="3" xfId="0" applyFont="1" applyBorder="1" applyAlignment="1">
      <alignment horizontal="center" vertical="center"/>
    </xf>
    <xf numFmtId="0" fontId="6" fillId="0" borderId="3" xfId="0" applyFont="1" applyBorder="1" applyAlignment="1">
      <alignment horizontal="center" vertical="center" wrapText="1"/>
    </xf>
    <xf numFmtId="0" fontId="3" fillId="0" borderId="5" xfId="0" applyFont="1" applyBorder="1" applyAlignment="1">
      <alignment horizontal="center" vertical="center"/>
    </xf>
    <xf numFmtId="0" fontId="6" fillId="0" borderId="5" xfId="0" applyFont="1" applyBorder="1" applyAlignment="1">
      <alignment horizontal="center" vertical="center" wrapText="1"/>
    </xf>
    <xf numFmtId="0" fontId="2"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2" xfId="0" applyFont="1" applyFill="1" applyBorder="1" applyAlignment="1">
      <alignment horizontal="center" vertical="center" wrapText="1"/>
    </xf>
    <xf numFmtId="0" fontId="6" fillId="0" borderId="6" xfId="0" applyFont="1" applyBorder="1" applyAlignment="1">
      <alignment horizontal="center" vertical="center" wrapText="1"/>
    </xf>
    <xf numFmtId="0" fontId="6" fillId="0" borderId="6" xfId="0" applyFont="1" applyFill="1" applyBorder="1" applyAlignment="1">
      <alignment horizontal="center" vertical="center" wrapText="1"/>
    </xf>
    <xf numFmtId="0" fontId="1" fillId="0" borderId="0" xfId="1"/>
    <xf numFmtId="0" fontId="3" fillId="0" borderId="5" xfId="2" applyFont="1" applyAlignment="1">
      <alignment horizontal="center" vertical="center"/>
    </xf>
    <xf numFmtId="0" fontId="14" fillId="0" borderId="5" xfId="2" applyFont="1" applyAlignment="1">
      <alignment horizontal="center" vertical="center" wrapText="1"/>
    </xf>
    <xf numFmtId="0" fontId="15" fillId="0" borderId="5" xfId="2" applyFont="1" applyAlignment="1">
      <alignment horizontal="center" vertical="center" wrapText="1"/>
    </xf>
    <xf numFmtId="0" fontId="3" fillId="0" borderId="6" xfId="2" applyFont="1" applyBorder="1" applyAlignment="1">
      <alignment horizontal="center" vertical="center" wrapText="1"/>
    </xf>
    <xf numFmtId="0" fontId="4" fillId="0" borderId="6" xfId="2" applyFont="1" applyBorder="1" applyAlignment="1">
      <alignment horizontal="center" vertical="center" wrapText="1"/>
    </xf>
    <xf numFmtId="0" fontId="6" fillId="0" borderId="6" xfId="2" applyFont="1" applyBorder="1" applyAlignment="1">
      <alignment horizontal="center" vertical="center" wrapText="1"/>
    </xf>
    <xf numFmtId="0" fontId="2" fillId="0" borderId="6" xfId="2" applyFont="1" applyBorder="1" applyAlignment="1">
      <alignment horizontal="center" vertical="center"/>
    </xf>
    <xf numFmtId="0" fontId="2" fillId="0" borderId="6" xfId="2" applyFont="1" applyBorder="1" applyAlignment="1">
      <alignment horizontal="center" vertical="center" wrapText="1"/>
    </xf>
    <xf numFmtId="0" fontId="9" fillId="0" borderId="6" xfId="3" applyFont="1" applyBorder="1" applyAlignment="1">
      <alignment horizontal="center" vertical="center" wrapText="1"/>
    </xf>
    <xf numFmtId="0" fontId="7" fillId="0" borderId="5" xfId="2" applyFont="1" applyBorder="1" applyAlignment="1">
      <alignment horizontal="center" vertical="center" wrapText="1"/>
    </xf>
    <xf numFmtId="0" fontId="3" fillId="0" borderId="5" xfId="2" applyFont="1" applyBorder="1" applyAlignment="1">
      <alignment horizontal="center" vertical="center"/>
    </xf>
    <xf numFmtId="0" fontId="3" fillId="0" borderId="5" xfId="2" applyFont="1" applyBorder="1" applyAlignment="1">
      <alignment horizontal="center" vertical="center" wrapText="1"/>
    </xf>
    <xf numFmtId="0" fontId="1" fillId="4" borderId="5" xfId="3" applyFill="1" applyAlignment="1">
      <alignment horizontal="center" vertical="center" wrapText="1"/>
    </xf>
    <xf numFmtId="0" fontId="3" fillId="0" borderId="6" xfId="2" applyFont="1" applyBorder="1" applyAlignment="1">
      <alignment horizontal="center" vertical="center"/>
    </xf>
    <xf numFmtId="0" fontId="13" fillId="0" borderId="5" xfId="2"/>
    <xf numFmtId="0" fontId="14" fillId="4" borderId="5" xfId="2" applyFont="1" applyFill="1" applyAlignment="1">
      <alignment horizontal="center" vertical="center" wrapText="1"/>
    </xf>
    <xf numFmtId="0" fontId="3" fillId="4" borderId="6" xfId="2" applyFont="1" applyFill="1" applyBorder="1" applyAlignment="1">
      <alignment horizontal="center" vertical="center"/>
    </xf>
    <xf numFmtId="0" fontId="3" fillId="4" borderId="6" xfId="2" applyFont="1" applyFill="1" applyBorder="1" applyAlignment="1">
      <alignment horizontal="center" vertical="center" wrapText="1"/>
    </xf>
    <xf numFmtId="0" fontId="14" fillId="0" borderId="6" xfId="2" applyFont="1" applyBorder="1" applyAlignment="1">
      <alignment horizontal="center" vertical="center" wrapText="1"/>
    </xf>
    <xf numFmtId="0" fontId="1" fillId="0" borderId="5" xfId="3" applyAlignment="1">
      <alignment horizontal="center" vertical="center" wrapText="1"/>
    </xf>
    <xf numFmtId="0" fontId="7" fillId="2" borderId="6" xfId="2" applyFont="1" applyFill="1" applyBorder="1" applyAlignment="1">
      <alignment horizontal="center" vertical="center" wrapText="1"/>
    </xf>
    <xf numFmtId="0" fontId="6" fillId="0" borderId="5" xfId="2" applyFont="1" applyBorder="1" applyAlignment="1">
      <alignment horizontal="center" vertical="center" wrapText="1"/>
    </xf>
    <xf numFmtId="0" fontId="12" fillId="0" borderId="5" xfId="2" applyFont="1" applyAlignment="1">
      <alignment horizontal="center" vertical="center"/>
    </xf>
    <xf numFmtId="0" fontId="16" fillId="0" borderId="5" xfId="2" applyFont="1" applyAlignment="1">
      <alignment horizontal="center" vertical="center" wrapText="1"/>
    </xf>
    <xf numFmtId="0" fontId="3" fillId="0" borderId="1" xfId="2" applyFont="1" applyBorder="1" applyAlignment="1">
      <alignment horizontal="center" vertical="center"/>
    </xf>
    <xf numFmtId="0" fontId="4" fillId="0" borderId="1" xfId="2" applyFont="1" applyBorder="1" applyAlignment="1">
      <alignment horizontal="center" vertical="center" wrapText="1"/>
    </xf>
    <xf numFmtId="0" fontId="3" fillId="0" borderId="1" xfId="2" applyFont="1" applyBorder="1" applyAlignment="1">
      <alignment horizontal="center" vertical="center" wrapText="1"/>
    </xf>
    <xf numFmtId="0" fontId="14" fillId="0" borderId="5" xfId="2" applyFont="1" applyBorder="1" applyAlignment="1">
      <alignment horizontal="center" vertical="center" wrapText="1"/>
    </xf>
    <xf numFmtId="0" fontId="7" fillId="2" borderId="1" xfId="2" applyFont="1" applyFill="1" applyBorder="1" applyAlignment="1">
      <alignment horizontal="center" vertical="center" wrapText="1"/>
    </xf>
    <xf numFmtId="0" fontId="3" fillId="0" borderId="3" xfId="2" applyFont="1" applyBorder="1" applyAlignment="1">
      <alignment horizontal="center" vertical="center"/>
    </xf>
    <xf numFmtId="0" fontId="1" fillId="0" borderId="6" xfId="3" applyBorder="1" applyAlignment="1">
      <alignment horizontal="center" vertical="center" wrapText="1"/>
    </xf>
    <xf numFmtId="0" fontId="4" fillId="4" borderId="1" xfId="2" applyFont="1" applyFill="1" applyBorder="1" applyAlignment="1">
      <alignment horizontal="center" vertical="center" wrapText="1"/>
    </xf>
    <xf numFmtId="0" fontId="2" fillId="0" borderId="1" xfId="2" applyFont="1" applyBorder="1" applyAlignment="1">
      <alignment horizontal="center" vertical="center" wrapText="1"/>
    </xf>
    <xf numFmtId="0" fontId="11" fillId="0" borderId="1" xfId="2" applyFont="1" applyBorder="1" applyAlignment="1">
      <alignment horizontal="center" vertical="center" wrapText="1"/>
    </xf>
    <xf numFmtId="0" fontId="2" fillId="0" borderId="1" xfId="2" applyFont="1" applyBorder="1" applyAlignment="1">
      <alignment horizontal="center" vertical="center"/>
    </xf>
    <xf numFmtId="0" fontId="4" fillId="0" borderId="1" xfId="2" applyFont="1" applyBorder="1" applyAlignment="1">
      <alignment horizontal="center" vertical="center"/>
    </xf>
    <xf numFmtId="0" fontId="3" fillId="4" borderId="1" xfId="2" applyFont="1" applyFill="1" applyBorder="1" applyAlignment="1">
      <alignment horizontal="center" vertical="center"/>
    </xf>
    <xf numFmtId="0" fontId="3" fillId="4" borderId="5" xfId="2" applyFont="1" applyFill="1" applyAlignment="1">
      <alignment horizontal="center" vertical="center" wrapText="1"/>
    </xf>
    <xf numFmtId="0" fontId="2" fillId="4" borderId="1" xfId="2" applyFont="1" applyFill="1" applyBorder="1" applyAlignment="1">
      <alignment horizontal="center" vertical="center"/>
    </xf>
    <xf numFmtId="0" fontId="2" fillId="4" borderId="1" xfId="2" applyFont="1" applyFill="1" applyBorder="1" applyAlignment="1">
      <alignment horizontal="center" vertical="center" wrapText="1"/>
    </xf>
    <xf numFmtId="0" fontId="14" fillId="0" borderId="1" xfId="2" applyFont="1" applyBorder="1" applyAlignment="1">
      <alignment horizontal="center" vertical="center" wrapText="1"/>
    </xf>
    <xf numFmtId="0" fontId="4" fillId="0" borderId="5" xfId="2" applyFont="1" applyAlignment="1">
      <alignment horizontal="center" vertical="center" wrapText="1"/>
    </xf>
    <xf numFmtId="0" fontId="7" fillId="3" borderId="4" xfId="2" applyFont="1" applyFill="1" applyBorder="1" applyAlignment="1">
      <alignment horizontal="center" vertical="center" wrapText="1"/>
    </xf>
    <xf numFmtId="0" fontId="6" fillId="0" borderId="3" xfId="2" applyFont="1" applyBorder="1" applyAlignment="1">
      <alignment horizontal="center" vertical="center" wrapText="1"/>
    </xf>
    <xf numFmtId="0" fontId="15" fillId="0" borderId="5" xfId="2" applyFont="1" applyAlignment="1">
      <alignment horizontal="center" vertical="center"/>
    </xf>
    <xf numFmtId="0" fontId="6" fillId="0" borderId="7" xfId="2" applyFont="1" applyBorder="1" applyAlignment="1">
      <alignment horizontal="center" vertical="center" wrapText="1"/>
    </xf>
    <xf numFmtId="0" fontId="1" fillId="0" borderId="6" xfId="1" applyBorder="1" applyAlignment="1">
      <alignment horizontal="center" vertical="center" wrapText="1"/>
    </xf>
    <xf numFmtId="0" fontId="1" fillId="4" borderId="5" xfId="1" applyFill="1" applyBorder="1" applyAlignment="1">
      <alignment horizontal="center" vertical="center" wrapText="1"/>
    </xf>
    <xf numFmtId="0" fontId="17" fillId="0" borderId="6" xfId="0" applyFont="1" applyBorder="1" applyAlignment="1">
      <alignment horizontal="center" vertical="top"/>
    </xf>
    <xf numFmtId="0" fontId="1" fillId="0" borderId="1" xfId="1" applyBorder="1" applyAlignment="1">
      <alignment horizontal="center" vertical="center" wrapText="1"/>
    </xf>
    <xf numFmtId="0" fontId="1" fillId="4" borderId="1" xfId="1" applyFill="1" applyBorder="1" applyAlignment="1">
      <alignment horizontal="center" vertical="center" wrapText="1"/>
    </xf>
    <xf numFmtId="0" fontId="1" fillId="0" borderId="5" xfId="1" applyBorder="1" applyAlignment="1">
      <alignment horizontal="center" vertical="center" wrapText="1"/>
    </xf>
    <xf numFmtId="0" fontId="1" fillId="0" borderId="0" xfId="1" applyAlignment="1">
      <alignment vertical="center"/>
    </xf>
    <xf numFmtId="0" fontId="19" fillId="0" borderId="0" xfId="1" applyFont="1" applyAlignment="1">
      <alignment vertical="center" wrapText="1"/>
    </xf>
    <xf numFmtId="0" fontId="20" fillId="0" borderId="0" xfId="0" applyFont="1" applyAlignment="1">
      <alignment horizontal="justify" vertical="center"/>
    </xf>
    <xf numFmtId="0" fontId="1" fillId="0" borderId="0" xfId="1" applyAlignment="1">
      <alignment horizontal="justify" vertical="center"/>
    </xf>
    <xf numFmtId="0" fontId="2" fillId="0" borderId="0" xfId="0" applyFont="1" applyAlignment="1">
      <alignment horizontal="justify" vertical="center"/>
    </xf>
    <xf numFmtId="0" fontId="2" fillId="0" borderId="0" xfId="0" applyFont="1"/>
    <xf numFmtId="0" fontId="18" fillId="0" borderId="0" xfId="0" applyFont="1" applyAlignment="1">
      <alignment wrapText="1"/>
    </xf>
    <xf numFmtId="0" fontId="18" fillId="0" borderId="0" xfId="0" applyFont="1"/>
    <xf numFmtId="0" fontId="19" fillId="0" borderId="0" xfId="1" applyFont="1"/>
    <xf numFmtId="0" fontId="7" fillId="2" borderId="8" xfId="0" applyFont="1" applyFill="1" applyBorder="1" applyAlignment="1">
      <alignment horizontal="center" vertical="center" wrapText="1"/>
    </xf>
    <xf numFmtId="0" fontId="17" fillId="0" borderId="5" xfId="0" applyFont="1" applyBorder="1" applyAlignment="1">
      <alignment horizontal="center" vertical="top"/>
    </xf>
    <xf numFmtId="0" fontId="8" fillId="0" borderId="5" xfId="0" applyFont="1" applyBorder="1" applyAlignment="1">
      <alignment horizontal="center" vertical="center" wrapText="1"/>
    </xf>
    <xf numFmtId="0" fontId="8" fillId="0" borderId="5" xfId="2" applyFont="1" applyBorder="1" applyAlignment="1">
      <alignment horizontal="center" vertical="center" wrapText="1"/>
    </xf>
  </cellXfs>
  <cellStyles count="4">
    <cellStyle name="Hipervínculo" xfId="1" builtinId="8"/>
    <cellStyle name="Hipervínculo 2" xfId="3"/>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mailto:direccion@canacintratorreon.org" TargetMode="External"/><Relationship Id="rId18" Type="http://schemas.openxmlformats.org/officeDocument/2006/relationships/hyperlink" Target="mailto:promero@fomec.org.mx" TargetMode="External"/><Relationship Id="rId26" Type="http://schemas.openxmlformats.org/officeDocument/2006/relationships/hyperlink" Target="about:blank" TargetMode="External"/><Relationship Id="rId39" Type="http://schemas.openxmlformats.org/officeDocument/2006/relationships/hyperlink" Target="about:blank" TargetMode="External"/><Relationship Id="rId21" Type="http://schemas.openxmlformats.org/officeDocument/2006/relationships/hyperlink" Target="mailto:jl_hotema@clusterautomotrizlaguna.com" TargetMode="External"/><Relationship Id="rId34" Type="http://schemas.openxmlformats.org/officeDocument/2006/relationships/hyperlink" Target="mailto:mujerescoparmexmva@gmail.com" TargetMode="External"/><Relationship Id="rId42" Type="http://schemas.openxmlformats.org/officeDocument/2006/relationships/hyperlink" Target="about:blank" TargetMode="External"/><Relationship Id="rId47" Type="http://schemas.openxmlformats.org/officeDocument/2006/relationships/hyperlink" Target="mailto:presidencia@aaapn.mx" TargetMode="External"/><Relationship Id="rId50" Type="http://schemas.openxmlformats.org/officeDocument/2006/relationships/hyperlink" Target="about:blank" TargetMode="External"/><Relationship Id="rId7" Type="http://schemas.openxmlformats.org/officeDocument/2006/relationships/hyperlink" Target="mailto:dmcdecoah@hotmail.com" TargetMode="External"/><Relationship Id="rId2" Type="http://schemas.openxmlformats.org/officeDocument/2006/relationships/hyperlink" Target="about:blank" TargetMode="External"/><Relationship Id="rId16" Type="http://schemas.openxmlformats.org/officeDocument/2006/relationships/hyperlink" Target="about:blank" TargetMode="External"/><Relationship Id="rId29" Type="http://schemas.openxmlformats.org/officeDocument/2006/relationships/hyperlink" Target="about:blank" TargetMode="External"/><Relationship Id="rId11" Type="http://schemas.openxmlformats.org/officeDocument/2006/relationships/hyperlink" Target="about:blank" TargetMode="External"/><Relationship Id="rId24" Type="http://schemas.openxmlformats.org/officeDocument/2006/relationships/hyperlink" Target="mailto:deavilagrupo@hotmail.com" TargetMode="External"/><Relationship Id="rId32" Type="http://schemas.openxmlformats.org/officeDocument/2006/relationships/hyperlink" Target="about:blank" TargetMode="External"/><Relationship Id="rId37" Type="http://schemas.openxmlformats.org/officeDocument/2006/relationships/hyperlink" Target="about:blank" TargetMode="External"/><Relationship Id="rId40" Type="http://schemas.openxmlformats.org/officeDocument/2006/relationships/hyperlink" Target="about:blank" TargetMode="External"/><Relationship Id="rId45" Type="http://schemas.openxmlformats.org/officeDocument/2006/relationships/hyperlink" Target="mailto:piedrasnegras@canacintra.org.mx" TargetMode="External"/><Relationship Id="rId5" Type="http://schemas.openxmlformats.org/officeDocument/2006/relationships/hyperlink" Target="about:blank" TargetMode="External"/><Relationship Id="rId15" Type="http://schemas.openxmlformats.org/officeDocument/2006/relationships/hyperlink" Target="about:blank" TargetMode="External"/><Relationship Id="rId23" Type="http://schemas.openxmlformats.org/officeDocument/2006/relationships/hyperlink" Target="about:blank" TargetMode="External"/><Relationship Id="rId28" Type="http://schemas.openxmlformats.org/officeDocument/2006/relationships/hyperlink" Target="about:blank" TargetMode="External"/><Relationship Id="rId36" Type="http://schemas.openxmlformats.org/officeDocument/2006/relationships/hyperlink" Target="about:blank" TargetMode="External"/><Relationship Id="rId49" Type="http://schemas.openxmlformats.org/officeDocument/2006/relationships/hyperlink" Target="mailto:norma_tg@live.com.mx" TargetMode="External"/><Relationship Id="rId10" Type="http://schemas.openxmlformats.org/officeDocument/2006/relationships/hyperlink" Target="about:blank" TargetMode="External"/><Relationship Id="rId19" Type="http://schemas.openxmlformats.org/officeDocument/2006/relationships/hyperlink" Target="about:blank" TargetMode="External"/><Relationship Id="rId31" Type="http://schemas.openxmlformats.org/officeDocument/2006/relationships/hyperlink" Target="about:blank" TargetMode="External"/><Relationship Id="rId44" Type="http://schemas.openxmlformats.org/officeDocument/2006/relationships/hyperlink" Target="about:blank" TargetMode="External"/><Relationship Id="rId4" Type="http://schemas.openxmlformats.org/officeDocument/2006/relationships/hyperlink" Target="mailto:contacto@caniracsaltillo.mx" TargetMode="External"/><Relationship Id="rId9" Type="http://schemas.openxmlformats.org/officeDocument/2006/relationships/hyperlink" Target="mailto:direccion@viveloensaltillo.com" TargetMode="External"/><Relationship Id="rId14" Type="http://schemas.openxmlformats.org/officeDocument/2006/relationships/hyperlink" Target="about:blank" TargetMode="External"/><Relationship Id="rId22" Type="http://schemas.openxmlformats.org/officeDocument/2006/relationships/hyperlink" Target="mailto:ADMONLAGUNA@CANADEVI.COM.MX" TargetMode="External"/><Relationship Id="rId27" Type="http://schemas.openxmlformats.org/officeDocument/2006/relationships/hyperlink" Target="about:blank" TargetMode="External"/><Relationship Id="rId30" Type="http://schemas.openxmlformats.org/officeDocument/2006/relationships/hyperlink" Target="about:blank" TargetMode="External"/><Relationship Id="rId35" Type="http://schemas.openxmlformats.org/officeDocument/2006/relationships/hyperlink" Target="mailto:gerente.mva@canacar.com.mx" TargetMode="External"/><Relationship Id="rId43" Type="http://schemas.openxmlformats.org/officeDocument/2006/relationships/hyperlink" Target="about:blank" TargetMode="External"/><Relationship Id="rId48" Type="http://schemas.openxmlformats.org/officeDocument/2006/relationships/hyperlink" Target="mailto:juan.gonzalez@aaapn.mx" TargetMode="External"/><Relationship Id="rId8" Type="http://schemas.openxmlformats.org/officeDocument/2006/relationships/hyperlink" Target="about:blank" TargetMode="External"/><Relationship Id="rId51" Type="http://schemas.openxmlformats.org/officeDocument/2006/relationships/printerSettings" Target="../printerSettings/printerSettings1.bin"/><Relationship Id="rId3" Type="http://schemas.openxmlformats.org/officeDocument/2006/relationships/hyperlink" Target="about:blank" TargetMode="External"/><Relationship Id="rId12" Type="http://schemas.openxmlformats.org/officeDocument/2006/relationships/hyperlink" Target="about:blank" TargetMode="External"/><Relationship Id="rId17" Type="http://schemas.openxmlformats.org/officeDocument/2006/relationships/hyperlink" Target="about:blank" TargetMode="External"/><Relationship Id="rId25" Type="http://schemas.openxmlformats.org/officeDocument/2006/relationships/hyperlink" Target="mailto:direccion@torreonconquista.com" TargetMode="External"/><Relationship Id="rId33" Type="http://schemas.openxmlformats.org/officeDocument/2006/relationships/hyperlink" Target="mailto:ocvmonclova@gmail.com" TargetMode="External"/><Relationship Id="rId38" Type="http://schemas.openxmlformats.org/officeDocument/2006/relationships/hyperlink" Target="about:blank" TargetMode="External"/><Relationship Id="rId46" Type="http://schemas.openxmlformats.org/officeDocument/2006/relationships/hyperlink" Target="about:blank" TargetMode="External"/><Relationship Id="rId20" Type="http://schemas.openxmlformats.org/officeDocument/2006/relationships/hyperlink" Target="about:blank" TargetMode="External"/><Relationship Id="rId41" Type="http://schemas.openxmlformats.org/officeDocument/2006/relationships/hyperlink" Target="mailto:canaco2017@hotmail.com" TargetMode="External"/><Relationship Id="rId1" Type="http://schemas.openxmlformats.org/officeDocument/2006/relationships/hyperlink" Target="about:blank" TargetMode="External"/><Relationship Id="rId6" Type="http://schemas.openxmlformats.org/officeDocument/2006/relationships/hyperlink" Target="mailto:arrenda.saltillo@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forms.gle/jHH5VjT1WmWcRtWWA" TargetMode="External"/><Relationship Id="rId2" Type="http://schemas.openxmlformats.org/officeDocument/2006/relationships/hyperlink" Target="https://forms.gle/6MtmXcSL3NRdJKFf7" TargetMode="External"/><Relationship Id="rId1" Type="http://schemas.openxmlformats.org/officeDocument/2006/relationships/hyperlink" Target="https://forms.gle/83kUtEx8hSA39tgy7" TargetMode="External"/><Relationship Id="rId5" Type="http://schemas.openxmlformats.org/officeDocument/2006/relationships/hyperlink" Target="https://forms.gle/c3tZc4o6XfUuzPj2A" TargetMode="External"/><Relationship Id="rId4" Type="http://schemas.openxmlformats.org/officeDocument/2006/relationships/hyperlink" Target="https://forms.gle/ML9Kq1n2aGfQywZ56"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mailto:direccion@canacintratorreon.org" TargetMode="External"/><Relationship Id="rId18" Type="http://schemas.openxmlformats.org/officeDocument/2006/relationships/hyperlink" Target="mailto:promero@fomec.org.mx" TargetMode="External"/><Relationship Id="rId26" Type="http://schemas.openxmlformats.org/officeDocument/2006/relationships/hyperlink" Target="about:blank" TargetMode="External"/><Relationship Id="rId39" Type="http://schemas.openxmlformats.org/officeDocument/2006/relationships/hyperlink" Target="about:blank" TargetMode="External"/><Relationship Id="rId21" Type="http://schemas.openxmlformats.org/officeDocument/2006/relationships/hyperlink" Target="mailto:jl_hotema@clusterautomotrizlaguna.com" TargetMode="External"/><Relationship Id="rId34" Type="http://schemas.openxmlformats.org/officeDocument/2006/relationships/hyperlink" Target="mailto:mujerescoparmexmva@gmail.com" TargetMode="External"/><Relationship Id="rId42" Type="http://schemas.openxmlformats.org/officeDocument/2006/relationships/hyperlink" Target="about:blank" TargetMode="External"/><Relationship Id="rId47" Type="http://schemas.openxmlformats.org/officeDocument/2006/relationships/hyperlink" Target="mailto:presidencia@aaapn.mx" TargetMode="External"/><Relationship Id="rId50" Type="http://schemas.openxmlformats.org/officeDocument/2006/relationships/hyperlink" Target="about:blank" TargetMode="External"/><Relationship Id="rId55" Type="http://schemas.openxmlformats.org/officeDocument/2006/relationships/hyperlink" Target="mailto:hdzcastillayasociados@gmail.com" TargetMode="External"/><Relationship Id="rId7" Type="http://schemas.openxmlformats.org/officeDocument/2006/relationships/hyperlink" Target="mailto:dmcdecoah@hotmail.com" TargetMode="External"/><Relationship Id="rId2" Type="http://schemas.openxmlformats.org/officeDocument/2006/relationships/hyperlink" Target="about:blank" TargetMode="External"/><Relationship Id="rId16" Type="http://schemas.openxmlformats.org/officeDocument/2006/relationships/hyperlink" Target="about:blank" TargetMode="External"/><Relationship Id="rId29" Type="http://schemas.openxmlformats.org/officeDocument/2006/relationships/hyperlink" Target="about:blank" TargetMode="External"/><Relationship Id="rId11" Type="http://schemas.openxmlformats.org/officeDocument/2006/relationships/hyperlink" Target="about:blank" TargetMode="External"/><Relationship Id="rId24" Type="http://schemas.openxmlformats.org/officeDocument/2006/relationships/hyperlink" Target="mailto:deavilagrupo@hotmail.com" TargetMode="External"/><Relationship Id="rId32" Type="http://schemas.openxmlformats.org/officeDocument/2006/relationships/hyperlink" Target="about:blank" TargetMode="External"/><Relationship Id="rId37" Type="http://schemas.openxmlformats.org/officeDocument/2006/relationships/hyperlink" Target="about:blank" TargetMode="External"/><Relationship Id="rId40" Type="http://schemas.openxmlformats.org/officeDocument/2006/relationships/hyperlink" Target="about:blank" TargetMode="External"/><Relationship Id="rId45" Type="http://schemas.openxmlformats.org/officeDocument/2006/relationships/hyperlink" Target="mailto:piedrasnegras@canacintra.org.mx" TargetMode="External"/><Relationship Id="rId53" Type="http://schemas.openxmlformats.org/officeDocument/2006/relationships/hyperlink" Target="mailto:turismo_carbonifera2@hotmail.com" TargetMode="External"/><Relationship Id="rId5" Type="http://schemas.openxmlformats.org/officeDocument/2006/relationships/hyperlink" Target="about:blank" TargetMode="External"/><Relationship Id="rId19" Type="http://schemas.openxmlformats.org/officeDocument/2006/relationships/hyperlink" Target="about:blank" TargetMode="External"/><Relationship Id="rId4" Type="http://schemas.openxmlformats.org/officeDocument/2006/relationships/hyperlink" Target="mailto:contacto@caniracsaltillo.mx" TargetMode="External"/><Relationship Id="rId9" Type="http://schemas.openxmlformats.org/officeDocument/2006/relationships/hyperlink" Target="mailto:direccion@viveloensaltillo.com" TargetMode="External"/><Relationship Id="rId14" Type="http://schemas.openxmlformats.org/officeDocument/2006/relationships/hyperlink" Target="about:blank" TargetMode="External"/><Relationship Id="rId22" Type="http://schemas.openxmlformats.org/officeDocument/2006/relationships/hyperlink" Target="mailto:ADMONLAGUNA@CANADEVI.COM.MX" TargetMode="External"/><Relationship Id="rId27" Type="http://schemas.openxmlformats.org/officeDocument/2006/relationships/hyperlink" Target="about:blank" TargetMode="External"/><Relationship Id="rId30" Type="http://schemas.openxmlformats.org/officeDocument/2006/relationships/hyperlink" Target="about:blank" TargetMode="External"/><Relationship Id="rId35" Type="http://schemas.openxmlformats.org/officeDocument/2006/relationships/hyperlink" Target="mailto:gerente.monclova@canacar.com.mx" TargetMode="External"/><Relationship Id="rId43" Type="http://schemas.openxmlformats.org/officeDocument/2006/relationships/hyperlink" Target="about:blank" TargetMode="External"/><Relationship Id="rId48" Type="http://schemas.openxmlformats.org/officeDocument/2006/relationships/hyperlink" Target="mailto:juan.gonzalez@aaapn.mx" TargetMode="External"/><Relationship Id="rId56" Type="http://schemas.openxmlformats.org/officeDocument/2006/relationships/hyperlink" Target="mailto:karla.afp@icloud.com" TargetMode="External"/><Relationship Id="rId8" Type="http://schemas.openxmlformats.org/officeDocument/2006/relationships/hyperlink" Target="about:blank" TargetMode="External"/><Relationship Id="rId51" Type="http://schemas.openxmlformats.org/officeDocument/2006/relationships/hyperlink" Target="mailto:turismocanaco@gmail.com" TargetMode="External"/><Relationship Id="rId3" Type="http://schemas.openxmlformats.org/officeDocument/2006/relationships/hyperlink" Target="about:blank" TargetMode="External"/><Relationship Id="rId12" Type="http://schemas.openxmlformats.org/officeDocument/2006/relationships/hyperlink" Target="about:blank" TargetMode="External"/><Relationship Id="rId17" Type="http://schemas.openxmlformats.org/officeDocument/2006/relationships/hyperlink" Target="about:blank" TargetMode="External"/><Relationship Id="rId25" Type="http://schemas.openxmlformats.org/officeDocument/2006/relationships/hyperlink" Target="mailto:direccion@torreonconquista.com" TargetMode="External"/><Relationship Id="rId33" Type="http://schemas.openxmlformats.org/officeDocument/2006/relationships/hyperlink" Target="mailto:ocvmonclova@gmail.com" TargetMode="External"/><Relationship Id="rId38" Type="http://schemas.openxmlformats.org/officeDocument/2006/relationships/hyperlink" Target="about:blank" TargetMode="External"/><Relationship Id="rId46" Type="http://schemas.openxmlformats.org/officeDocument/2006/relationships/hyperlink" Target="about:blank" TargetMode="External"/><Relationship Id="rId20" Type="http://schemas.openxmlformats.org/officeDocument/2006/relationships/hyperlink" Target="about:blank" TargetMode="External"/><Relationship Id="rId41" Type="http://schemas.openxmlformats.org/officeDocument/2006/relationships/hyperlink" Target="mailto:canaco2017@hotmail.com" TargetMode="External"/><Relationship Id="rId54" Type="http://schemas.openxmlformats.org/officeDocument/2006/relationships/hyperlink" Target="mailto:asociaciondemaquiladorasac@gmail.com" TargetMode="External"/><Relationship Id="rId1" Type="http://schemas.openxmlformats.org/officeDocument/2006/relationships/hyperlink" Target="about:blank" TargetMode="External"/><Relationship Id="rId6" Type="http://schemas.openxmlformats.org/officeDocument/2006/relationships/hyperlink" Target="mailto:arrenda.saltillo@gmail.com" TargetMode="External"/><Relationship Id="rId15" Type="http://schemas.openxmlformats.org/officeDocument/2006/relationships/hyperlink" Target="about:blank" TargetMode="External"/><Relationship Id="rId23" Type="http://schemas.openxmlformats.org/officeDocument/2006/relationships/hyperlink" Target="about:blank" TargetMode="External"/><Relationship Id="rId28" Type="http://schemas.openxmlformats.org/officeDocument/2006/relationships/hyperlink" Target="about:blank" TargetMode="External"/><Relationship Id="rId36" Type="http://schemas.openxmlformats.org/officeDocument/2006/relationships/hyperlink" Target="about:blank" TargetMode="External"/><Relationship Id="rId49" Type="http://schemas.openxmlformats.org/officeDocument/2006/relationships/hyperlink" Target="mailto:norma_tg@live.com.mx" TargetMode="External"/><Relationship Id="rId57" Type="http://schemas.openxmlformats.org/officeDocument/2006/relationships/printerSettings" Target="../printerSettings/printerSettings2.bin"/><Relationship Id="rId10" Type="http://schemas.openxmlformats.org/officeDocument/2006/relationships/hyperlink" Target="about:blank" TargetMode="External"/><Relationship Id="rId31" Type="http://schemas.openxmlformats.org/officeDocument/2006/relationships/hyperlink" Target="about:blank" TargetMode="External"/><Relationship Id="rId44" Type="http://schemas.openxmlformats.org/officeDocument/2006/relationships/hyperlink" Target="about:blank" TargetMode="External"/><Relationship Id="rId52" Type="http://schemas.openxmlformats.org/officeDocument/2006/relationships/hyperlink" Target="mailto:ocvpiedrasnegras@gmail.com"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mailto:direccion@canacintratorreon.org" TargetMode="External"/><Relationship Id="rId18" Type="http://schemas.openxmlformats.org/officeDocument/2006/relationships/hyperlink" Target="mailto:promero@fomec.org.mx" TargetMode="External"/><Relationship Id="rId26" Type="http://schemas.openxmlformats.org/officeDocument/2006/relationships/hyperlink" Target="about:blank" TargetMode="External"/><Relationship Id="rId39" Type="http://schemas.openxmlformats.org/officeDocument/2006/relationships/hyperlink" Target="about:blank" TargetMode="External"/><Relationship Id="rId21" Type="http://schemas.openxmlformats.org/officeDocument/2006/relationships/hyperlink" Target="mailto:jl_hotema@clusterautomotrizlaguna.com" TargetMode="External"/><Relationship Id="rId34" Type="http://schemas.openxmlformats.org/officeDocument/2006/relationships/hyperlink" Target="mailto:mujerescoparmexmva@gmail.com" TargetMode="External"/><Relationship Id="rId42" Type="http://schemas.openxmlformats.org/officeDocument/2006/relationships/hyperlink" Target="mailto:turismo_carbonifera2@hotmail.com;" TargetMode="External"/><Relationship Id="rId47" Type="http://schemas.openxmlformats.org/officeDocument/2006/relationships/hyperlink" Target="mailto:presidencia@aaapn.mx" TargetMode="External"/><Relationship Id="rId50" Type="http://schemas.openxmlformats.org/officeDocument/2006/relationships/hyperlink" Target="about:blank" TargetMode="External"/><Relationship Id="rId55" Type="http://schemas.openxmlformats.org/officeDocument/2006/relationships/hyperlink" Target="mailto:hdzcastillayasociados@gmail.com" TargetMode="External"/><Relationship Id="rId7" Type="http://schemas.openxmlformats.org/officeDocument/2006/relationships/hyperlink" Target="mailto:dmcdecoah@hotmail.com" TargetMode="External"/><Relationship Id="rId2" Type="http://schemas.openxmlformats.org/officeDocument/2006/relationships/hyperlink" Target="about:blank" TargetMode="External"/><Relationship Id="rId16" Type="http://schemas.openxmlformats.org/officeDocument/2006/relationships/hyperlink" Target="about:blank" TargetMode="External"/><Relationship Id="rId29" Type="http://schemas.openxmlformats.org/officeDocument/2006/relationships/hyperlink" Target="mailto:donatogutierrez@coconsa.com.mx" TargetMode="External"/><Relationship Id="rId11" Type="http://schemas.openxmlformats.org/officeDocument/2006/relationships/hyperlink" Target="about:blank" TargetMode="External"/><Relationship Id="rId24" Type="http://schemas.openxmlformats.org/officeDocument/2006/relationships/hyperlink" Target="mailto:deavilagrupo@hotmail.com" TargetMode="External"/><Relationship Id="rId32" Type="http://schemas.openxmlformats.org/officeDocument/2006/relationships/hyperlink" Target="about:blank" TargetMode="External"/><Relationship Id="rId37" Type="http://schemas.openxmlformats.org/officeDocument/2006/relationships/hyperlink" Target="mailto:proteccion2004@gmail.com" TargetMode="External"/><Relationship Id="rId40" Type="http://schemas.openxmlformats.org/officeDocument/2006/relationships/hyperlink" Target="about:blank" TargetMode="External"/><Relationship Id="rId45" Type="http://schemas.openxmlformats.org/officeDocument/2006/relationships/hyperlink" Target="mailto:canacintrapiedrasnegras@hotmail.com" TargetMode="External"/><Relationship Id="rId53" Type="http://schemas.openxmlformats.org/officeDocument/2006/relationships/hyperlink" Target="mailto:turismo_carbonifera2@hotmail.com" TargetMode="External"/><Relationship Id="rId58" Type="http://schemas.openxmlformats.org/officeDocument/2006/relationships/hyperlink" Target="mailto:hdzcastillayasociados@gmail.com" TargetMode="External"/><Relationship Id="rId5" Type="http://schemas.openxmlformats.org/officeDocument/2006/relationships/hyperlink" Target="about:blank" TargetMode="External"/><Relationship Id="rId19" Type="http://schemas.openxmlformats.org/officeDocument/2006/relationships/hyperlink" Target="about:blank" TargetMode="External"/><Relationship Id="rId4" Type="http://schemas.openxmlformats.org/officeDocument/2006/relationships/hyperlink" Target="mailto:contacto@caniracsaltillo.mx" TargetMode="External"/><Relationship Id="rId9" Type="http://schemas.openxmlformats.org/officeDocument/2006/relationships/hyperlink" Target="mailto:direccion@viveloensaltillo.com" TargetMode="External"/><Relationship Id="rId14" Type="http://schemas.openxmlformats.org/officeDocument/2006/relationships/hyperlink" Target="about:blank" TargetMode="External"/><Relationship Id="rId22" Type="http://schemas.openxmlformats.org/officeDocument/2006/relationships/hyperlink" Target="mailto:ADMONLAGUNA@CANADEVI.COM.MX" TargetMode="External"/><Relationship Id="rId27" Type="http://schemas.openxmlformats.org/officeDocument/2006/relationships/hyperlink" Target="about:blank" TargetMode="External"/><Relationship Id="rId30" Type="http://schemas.openxmlformats.org/officeDocument/2006/relationships/hyperlink" Target="about:blank" TargetMode="External"/><Relationship Id="rId35" Type="http://schemas.openxmlformats.org/officeDocument/2006/relationships/hyperlink" Target="mailto:gerente.monclova@canacar.com.mx" TargetMode="External"/><Relationship Id="rId43" Type="http://schemas.openxmlformats.org/officeDocument/2006/relationships/hyperlink" Target="mailto:turismocanaco@gmail.com" TargetMode="External"/><Relationship Id="rId48" Type="http://schemas.openxmlformats.org/officeDocument/2006/relationships/hyperlink" Target="mailto:juan.gonzalez@aaapn.mx" TargetMode="External"/><Relationship Id="rId56" Type="http://schemas.openxmlformats.org/officeDocument/2006/relationships/hyperlink" Target="mailto:karla.afp@icloud.com" TargetMode="External"/><Relationship Id="rId8" Type="http://schemas.openxmlformats.org/officeDocument/2006/relationships/hyperlink" Target="about:blank" TargetMode="External"/><Relationship Id="rId51" Type="http://schemas.openxmlformats.org/officeDocument/2006/relationships/hyperlink" Target="mailto:turismocanaco@gmail.com" TargetMode="External"/><Relationship Id="rId3" Type="http://schemas.openxmlformats.org/officeDocument/2006/relationships/hyperlink" Target="about:blank" TargetMode="External"/><Relationship Id="rId12" Type="http://schemas.openxmlformats.org/officeDocument/2006/relationships/hyperlink" Target="about:blank" TargetMode="External"/><Relationship Id="rId17" Type="http://schemas.openxmlformats.org/officeDocument/2006/relationships/hyperlink" Target="about:blank" TargetMode="External"/><Relationship Id="rId25" Type="http://schemas.openxmlformats.org/officeDocument/2006/relationships/hyperlink" Target="mailto:direccion@torreonconquista.com" TargetMode="External"/><Relationship Id="rId33" Type="http://schemas.openxmlformats.org/officeDocument/2006/relationships/hyperlink" Target="mailto:ocvmonclova@gmail.com" TargetMode="External"/><Relationship Id="rId38" Type="http://schemas.openxmlformats.org/officeDocument/2006/relationships/hyperlink" Target="mailto:alberto.ramos@mineralesmirasa.com" TargetMode="External"/><Relationship Id="rId46" Type="http://schemas.openxmlformats.org/officeDocument/2006/relationships/hyperlink" Target="about:blank" TargetMode="External"/><Relationship Id="rId59" Type="http://schemas.openxmlformats.org/officeDocument/2006/relationships/printerSettings" Target="../printerSettings/printerSettings3.bin"/><Relationship Id="rId20" Type="http://schemas.openxmlformats.org/officeDocument/2006/relationships/hyperlink" Target="about:blank" TargetMode="External"/><Relationship Id="rId41" Type="http://schemas.openxmlformats.org/officeDocument/2006/relationships/hyperlink" Target="mailto:canaco2017@hotmail.com" TargetMode="External"/><Relationship Id="rId54" Type="http://schemas.openxmlformats.org/officeDocument/2006/relationships/hyperlink" Target="mailto:asociaciondemaquiladorasac@gmail.com" TargetMode="External"/><Relationship Id="rId1" Type="http://schemas.openxmlformats.org/officeDocument/2006/relationships/hyperlink" Target="about:blank" TargetMode="External"/><Relationship Id="rId6" Type="http://schemas.openxmlformats.org/officeDocument/2006/relationships/hyperlink" Target="mailto:arrenda.saltillo@gmail.com" TargetMode="External"/><Relationship Id="rId15" Type="http://schemas.openxmlformats.org/officeDocument/2006/relationships/hyperlink" Target="about:blank" TargetMode="External"/><Relationship Id="rId23" Type="http://schemas.openxmlformats.org/officeDocument/2006/relationships/hyperlink" Target="about:blank" TargetMode="External"/><Relationship Id="rId28" Type="http://schemas.openxmlformats.org/officeDocument/2006/relationships/hyperlink" Target="about:blank" TargetMode="External"/><Relationship Id="rId36" Type="http://schemas.openxmlformats.org/officeDocument/2006/relationships/hyperlink" Target="about:blank" TargetMode="External"/><Relationship Id="rId49" Type="http://schemas.openxmlformats.org/officeDocument/2006/relationships/hyperlink" Target="mailto:ocvpiedrasnegras@gmail.com" TargetMode="External"/><Relationship Id="rId57" Type="http://schemas.openxmlformats.org/officeDocument/2006/relationships/hyperlink" Target="mailto:cesarcocr7@gmail.com" TargetMode="External"/><Relationship Id="rId10" Type="http://schemas.openxmlformats.org/officeDocument/2006/relationships/hyperlink" Target="about:blank" TargetMode="External"/><Relationship Id="rId31" Type="http://schemas.openxmlformats.org/officeDocument/2006/relationships/hyperlink" Target="about:blank" TargetMode="External"/><Relationship Id="rId44" Type="http://schemas.openxmlformats.org/officeDocument/2006/relationships/hyperlink" Target="about:blank" TargetMode="External"/><Relationship Id="rId52" Type="http://schemas.openxmlformats.org/officeDocument/2006/relationships/hyperlink" Target="mailto:ocvpiedrasnegras@gmail.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hyperlink" Target="mailto:luis.urrazadugay@gmail.com" TargetMode="External"/><Relationship Id="rId18" Type="http://schemas.openxmlformats.org/officeDocument/2006/relationships/hyperlink" Target="mailto:luis.urrazadugay@gmail.com" TargetMode="External"/><Relationship Id="rId26" Type="http://schemas.openxmlformats.org/officeDocument/2006/relationships/hyperlink" Target="mailto:luis.urrazadugay@gmail.com" TargetMode="External"/><Relationship Id="rId39" Type="http://schemas.openxmlformats.org/officeDocument/2006/relationships/hyperlink" Target="mailto:luis.urrazadugay@gmail.com" TargetMode="External"/><Relationship Id="rId21" Type="http://schemas.openxmlformats.org/officeDocument/2006/relationships/hyperlink" Target="mailto:luis.urrazadugay@gmail.com" TargetMode="External"/><Relationship Id="rId34" Type="http://schemas.openxmlformats.org/officeDocument/2006/relationships/hyperlink" Target="mailto:luis.urrazadugay@gmail.com" TargetMode="External"/><Relationship Id="rId42" Type="http://schemas.openxmlformats.org/officeDocument/2006/relationships/hyperlink" Target="mailto:luis.urrazadugay@gmail.com" TargetMode="External"/><Relationship Id="rId47" Type="http://schemas.openxmlformats.org/officeDocument/2006/relationships/hyperlink" Target="mailto:luis.urrazadugay@gmail.com" TargetMode="External"/><Relationship Id="rId50" Type="http://schemas.openxmlformats.org/officeDocument/2006/relationships/hyperlink" Target="mailto:luis.urrazadugay@gmail.com" TargetMode="External"/><Relationship Id="rId55" Type="http://schemas.openxmlformats.org/officeDocument/2006/relationships/hyperlink" Target="mailto:luis.urrazadugay@gmail.com" TargetMode="External"/><Relationship Id="rId63" Type="http://schemas.openxmlformats.org/officeDocument/2006/relationships/printerSettings" Target="../printerSettings/printerSettings5.bin"/><Relationship Id="rId7" Type="http://schemas.openxmlformats.org/officeDocument/2006/relationships/hyperlink" Target="mailto:luis.urrazadugay@gmail.com" TargetMode="External"/><Relationship Id="rId2" Type="http://schemas.openxmlformats.org/officeDocument/2006/relationships/hyperlink" Target="mailto:luis.urrazadugay@gmail.com" TargetMode="External"/><Relationship Id="rId16" Type="http://schemas.openxmlformats.org/officeDocument/2006/relationships/hyperlink" Target="mailto:luis.urrazadugay@gmail.com" TargetMode="External"/><Relationship Id="rId29" Type="http://schemas.openxmlformats.org/officeDocument/2006/relationships/hyperlink" Target="mailto:luis.urrazadugay@gmail.com" TargetMode="External"/><Relationship Id="rId11" Type="http://schemas.openxmlformats.org/officeDocument/2006/relationships/hyperlink" Target="mailto:luis.urrazadugay@gmail.com" TargetMode="External"/><Relationship Id="rId24" Type="http://schemas.openxmlformats.org/officeDocument/2006/relationships/hyperlink" Target="mailto:luis.urrazadugay@gmail.com" TargetMode="External"/><Relationship Id="rId32" Type="http://schemas.openxmlformats.org/officeDocument/2006/relationships/hyperlink" Target="mailto:luis.urrazadugay@gmail.com" TargetMode="External"/><Relationship Id="rId37" Type="http://schemas.openxmlformats.org/officeDocument/2006/relationships/hyperlink" Target="mailto:luis.urrazadugay@gmail.com" TargetMode="External"/><Relationship Id="rId40" Type="http://schemas.openxmlformats.org/officeDocument/2006/relationships/hyperlink" Target="mailto:luis.urrazadugay@gmail.com" TargetMode="External"/><Relationship Id="rId45" Type="http://schemas.openxmlformats.org/officeDocument/2006/relationships/hyperlink" Target="mailto:luis.urrazadugay@gmail.com" TargetMode="External"/><Relationship Id="rId53" Type="http://schemas.openxmlformats.org/officeDocument/2006/relationships/hyperlink" Target="mailto:luis.urrazadugay@gmail.com" TargetMode="External"/><Relationship Id="rId58" Type="http://schemas.openxmlformats.org/officeDocument/2006/relationships/hyperlink" Target="mailto:luis.urrazadugay@gmail.com" TargetMode="External"/><Relationship Id="rId5" Type="http://schemas.openxmlformats.org/officeDocument/2006/relationships/hyperlink" Target="mailto:luis.urrazadugay@gmail.com" TargetMode="External"/><Relationship Id="rId61" Type="http://schemas.openxmlformats.org/officeDocument/2006/relationships/hyperlink" Target="../../../../1906%20Acu&#195;&#177;a/Cuestionarios%20empresas/Oficio%20para%20camaras/PDF/SIDUM%20DPCC%20018%202023.pdf" TargetMode="External"/><Relationship Id="rId19" Type="http://schemas.openxmlformats.org/officeDocument/2006/relationships/hyperlink" Target="mailto:luis.urrazadugay@gmail.com" TargetMode="External"/><Relationship Id="rId14" Type="http://schemas.openxmlformats.org/officeDocument/2006/relationships/hyperlink" Target="mailto:luis.urrazadugay@gmail.com" TargetMode="External"/><Relationship Id="rId22" Type="http://schemas.openxmlformats.org/officeDocument/2006/relationships/hyperlink" Target="mailto:luis.urrazadugay@gmail.com" TargetMode="External"/><Relationship Id="rId27" Type="http://schemas.openxmlformats.org/officeDocument/2006/relationships/hyperlink" Target="mailto:luis.urrazadugay@gmail.com" TargetMode="External"/><Relationship Id="rId30" Type="http://schemas.openxmlformats.org/officeDocument/2006/relationships/hyperlink" Target="mailto:luis.urrazadugay@gmail.com" TargetMode="External"/><Relationship Id="rId35" Type="http://schemas.openxmlformats.org/officeDocument/2006/relationships/hyperlink" Target="mailto:luis.urrazadugay@gmail.com" TargetMode="External"/><Relationship Id="rId43" Type="http://schemas.openxmlformats.org/officeDocument/2006/relationships/hyperlink" Target="mailto:luis.urrazadugay@gmail.com" TargetMode="External"/><Relationship Id="rId48" Type="http://schemas.openxmlformats.org/officeDocument/2006/relationships/hyperlink" Target="mailto:luis.urrazadugay@gmail.com" TargetMode="External"/><Relationship Id="rId56" Type="http://schemas.openxmlformats.org/officeDocument/2006/relationships/hyperlink" Target="mailto:luis.urrazadugay@gmail.com" TargetMode="External"/><Relationship Id="rId8" Type="http://schemas.openxmlformats.org/officeDocument/2006/relationships/hyperlink" Target="mailto:luis.urrazadugay@gmail.com" TargetMode="External"/><Relationship Id="rId51" Type="http://schemas.openxmlformats.org/officeDocument/2006/relationships/hyperlink" Target="mailto:luis.urrazadugay@gmail.com" TargetMode="External"/><Relationship Id="rId3" Type="http://schemas.openxmlformats.org/officeDocument/2006/relationships/hyperlink" Target="mailto:luis.urrazadugay@gmail.com" TargetMode="External"/><Relationship Id="rId12" Type="http://schemas.openxmlformats.org/officeDocument/2006/relationships/hyperlink" Target="mailto:luis.urrazadugay@gmail.com" TargetMode="External"/><Relationship Id="rId17" Type="http://schemas.openxmlformats.org/officeDocument/2006/relationships/hyperlink" Target="mailto:luis.urrazadugay@gmail.com" TargetMode="External"/><Relationship Id="rId25" Type="http://schemas.openxmlformats.org/officeDocument/2006/relationships/hyperlink" Target="mailto:luis.urrazadugay@gmail.com" TargetMode="External"/><Relationship Id="rId33" Type="http://schemas.openxmlformats.org/officeDocument/2006/relationships/hyperlink" Target="mailto:luis.urrazadugay@gmail.com" TargetMode="External"/><Relationship Id="rId38" Type="http://schemas.openxmlformats.org/officeDocument/2006/relationships/hyperlink" Target="mailto:luis.urrazadugay@gmail.com" TargetMode="External"/><Relationship Id="rId46" Type="http://schemas.openxmlformats.org/officeDocument/2006/relationships/hyperlink" Target="mailto:luis.urrazadugay@gmail.com" TargetMode="External"/><Relationship Id="rId59" Type="http://schemas.openxmlformats.org/officeDocument/2006/relationships/hyperlink" Target="mailto:luis.urrazadugay@gmail.com" TargetMode="External"/><Relationship Id="rId20" Type="http://schemas.openxmlformats.org/officeDocument/2006/relationships/hyperlink" Target="mailto:luis.urrazadugay@gmail.com" TargetMode="External"/><Relationship Id="rId41" Type="http://schemas.openxmlformats.org/officeDocument/2006/relationships/hyperlink" Target="mailto:luis.urrazadugay@gmail.com" TargetMode="External"/><Relationship Id="rId54" Type="http://schemas.openxmlformats.org/officeDocument/2006/relationships/hyperlink" Target="mailto:luis.urrazadugay@gmail.com" TargetMode="External"/><Relationship Id="rId62" Type="http://schemas.openxmlformats.org/officeDocument/2006/relationships/hyperlink" Target="mailto:guillermo.gonzalez@coahuila.gob.mx" TargetMode="External"/><Relationship Id="rId1" Type="http://schemas.openxmlformats.org/officeDocument/2006/relationships/hyperlink" Target="mailto:guillermo.gonzalez@coahuila.gob.mx" TargetMode="External"/><Relationship Id="rId6" Type="http://schemas.openxmlformats.org/officeDocument/2006/relationships/hyperlink" Target="mailto:luis.urrazadugay@gmail.com" TargetMode="External"/><Relationship Id="rId15" Type="http://schemas.openxmlformats.org/officeDocument/2006/relationships/hyperlink" Target="mailto:luis.urrazadugay@gmail.com" TargetMode="External"/><Relationship Id="rId23" Type="http://schemas.openxmlformats.org/officeDocument/2006/relationships/hyperlink" Target="mailto:luis.urrazadugay@gmail.com" TargetMode="External"/><Relationship Id="rId28" Type="http://schemas.openxmlformats.org/officeDocument/2006/relationships/hyperlink" Target="mailto:luis.urrazadugay@gmail.com" TargetMode="External"/><Relationship Id="rId36" Type="http://schemas.openxmlformats.org/officeDocument/2006/relationships/hyperlink" Target="mailto:luis.urrazadugay@gmail.com" TargetMode="External"/><Relationship Id="rId49" Type="http://schemas.openxmlformats.org/officeDocument/2006/relationships/hyperlink" Target="mailto:luis.urrazadugay@gmail.com" TargetMode="External"/><Relationship Id="rId57" Type="http://schemas.openxmlformats.org/officeDocument/2006/relationships/hyperlink" Target="mailto:luis.urrazadugay@gmail.com" TargetMode="External"/><Relationship Id="rId10" Type="http://schemas.openxmlformats.org/officeDocument/2006/relationships/hyperlink" Target="mailto:luis.urrazadugay@gmail.com" TargetMode="External"/><Relationship Id="rId31" Type="http://schemas.openxmlformats.org/officeDocument/2006/relationships/hyperlink" Target="mailto:luis.urrazadugay@gmail.com" TargetMode="External"/><Relationship Id="rId44" Type="http://schemas.openxmlformats.org/officeDocument/2006/relationships/hyperlink" Target="mailto:luis.urrazadugay@gmail.com" TargetMode="External"/><Relationship Id="rId52" Type="http://schemas.openxmlformats.org/officeDocument/2006/relationships/hyperlink" Target="mailto:luis.urrazadugay@gmail.com" TargetMode="External"/><Relationship Id="rId60" Type="http://schemas.openxmlformats.org/officeDocument/2006/relationships/hyperlink" Target="../../../../1906%20Acu&#195;&#177;a/Cuestionarios%20empresas/Oficio%20para%20camaras/PDF/SIDUM%20DPCC%20018%202023.pdf" TargetMode="External"/><Relationship Id="rId4" Type="http://schemas.openxmlformats.org/officeDocument/2006/relationships/hyperlink" Target="mailto:luis.urrazadugay@gmail.com" TargetMode="External"/><Relationship Id="rId9" Type="http://schemas.openxmlformats.org/officeDocument/2006/relationships/hyperlink" Target="mailto:luis.urrazadugay@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93"/>
  <sheetViews>
    <sheetView topLeftCell="D70" zoomScale="80" zoomScaleNormal="80" workbookViewId="0">
      <selection activeCell="J3" sqref="J3:K93"/>
    </sheetView>
  </sheetViews>
  <sheetFormatPr baseColWidth="10" defaultColWidth="14.42578125" defaultRowHeight="14.25" x14ac:dyDescent="0.25"/>
  <cols>
    <col min="1" max="1" width="12.42578125" style="20" bestFit="1" customWidth="1"/>
    <col min="2" max="2" width="23.85546875" style="20" bestFit="1" customWidth="1"/>
    <col min="3" max="3" width="24.28515625" style="20" bestFit="1" customWidth="1"/>
    <col min="4" max="4" width="15.28515625" style="20" bestFit="1" customWidth="1"/>
    <col min="5" max="5" width="50" style="20" bestFit="1" customWidth="1"/>
    <col min="6" max="6" width="18.85546875" style="20" bestFit="1" customWidth="1"/>
    <col min="7" max="7" width="26.42578125" style="20" bestFit="1" customWidth="1"/>
    <col min="8" max="8" width="46.5703125" style="20" bestFit="1" customWidth="1"/>
    <col min="9" max="9" width="17" style="20" bestFit="1" customWidth="1"/>
    <col min="10" max="16384" width="14.42578125" style="20"/>
  </cols>
  <sheetData>
    <row r="1" spans="1:11" s="26" customFormat="1" ht="30" x14ac:dyDescent="0.25">
      <c r="A1" s="101" t="s">
        <v>0</v>
      </c>
      <c r="B1" s="101"/>
      <c r="C1" s="101"/>
      <c r="D1" s="101"/>
      <c r="E1" s="101"/>
      <c r="F1" s="101"/>
      <c r="G1" s="101"/>
      <c r="H1" s="101"/>
      <c r="I1" s="101"/>
    </row>
    <row r="2" spans="1:11" ht="15" x14ac:dyDescent="0.25">
      <c r="A2" s="27"/>
      <c r="B2" s="28"/>
      <c r="C2" s="28"/>
      <c r="D2" s="28"/>
      <c r="E2" s="28"/>
      <c r="F2" s="28"/>
      <c r="G2" s="28"/>
      <c r="H2" s="28"/>
      <c r="I2" s="28"/>
    </row>
    <row r="3" spans="1:11" ht="30" x14ac:dyDescent="0.25">
      <c r="A3" s="17" t="s">
        <v>1</v>
      </c>
      <c r="B3" s="17" t="s">
        <v>2</v>
      </c>
      <c r="C3" s="17" t="s">
        <v>4</v>
      </c>
      <c r="D3" s="17" t="s">
        <v>3</v>
      </c>
      <c r="E3" s="17" t="s">
        <v>5</v>
      </c>
      <c r="F3" s="17" t="s">
        <v>6</v>
      </c>
      <c r="G3" s="17" t="s">
        <v>7</v>
      </c>
      <c r="H3" s="17" t="s">
        <v>8</v>
      </c>
      <c r="I3" s="17" t="s">
        <v>9</v>
      </c>
      <c r="J3" s="17" t="s">
        <v>433</v>
      </c>
      <c r="K3" s="17" t="s">
        <v>434</v>
      </c>
    </row>
    <row r="4" spans="1:11" ht="57" x14ac:dyDescent="0.25">
      <c r="A4" s="5" t="s">
        <v>10</v>
      </c>
      <c r="B4" s="3" t="s">
        <v>349</v>
      </c>
      <c r="C4" s="5" t="s">
        <v>12</v>
      </c>
      <c r="D4" s="5" t="s">
        <v>13</v>
      </c>
      <c r="E4" s="3" t="s">
        <v>14</v>
      </c>
      <c r="F4" s="3" t="s">
        <v>15</v>
      </c>
      <c r="G4" s="3" t="s">
        <v>411</v>
      </c>
      <c r="H4" s="4" t="s">
        <v>16</v>
      </c>
      <c r="I4" s="3" t="s">
        <v>11</v>
      </c>
      <c r="J4" s="20" t="s">
        <v>428</v>
      </c>
      <c r="K4" s="20" t="str">
        <f>VLOOKUP(J4,Hoja1!$A$1:$B$5,2,0)</f>
        <v>https://forms.gle/83kUtEx8hSA39tgy7</v>
      </c>
    </row>
    <row r="5" spans="1:11" ht="42.75" x14ac:dyDescent="0.25">
      <c r="A5" s="1" t="s">
        <v>22</v>
      </c>
      <c r="B5" s="2" t="s">
        <v>23</v>
      </c>
      <c r="C5" s="1" t="s">
        <v>24</v>
      </c>
      <c r="D5" s="1" t="s">
        <v>25</v>
      </c>
      <c r="E5" s="2" t="s">
        <v>17</v>
      </c>
      <c r="F5" s="2" t="s">
        <v>26</v>
      </c>
      <c r="G5" s="2" t="s">
        <v>412</v>
      </c>
      <c r="H5" s="4" t="s">
        <v>27</v>
      </c>
      <c r="I5" s="3" t="s">
        <v>21</v>
      </c>
      <c r="J5" s="20" t="s">
        <v>428</v>
      </c>
      <c r="K5" s="20" t="str">
        <f>VLOOKUP(J5,Hoja1!$A$1:$B$5,2,0)</f>
        <v>https://forms.gle/83kUtEx8hSA39tgy7</v>
      </c>
    </row>
    <row r="6" spans="1:11" ht="42.75" x14ac:dyDescent="0.25">
      <c r="A6" s="5" t="s">
        <v>18</v>
      </c>
      <c r="B6" s="3" t="s">
        <v>32</v>
      </c>
      <c r="C6" s="5" t="s">
        <v>33</v>
      </c>
      <c r="D6" s="5" t="s">
        <v>34</v>
      </c>
      <c r="E6" s="3" t="s">
        <v>30</v>
      </c>
      <c r="F6" s="3" t="s">
        <v>35</v>
      </c>
      <c r="G6" s="3" t="s">
        <v>413</v>
      </c>
      <c r="H6" s="4" t="s">
        <v>31</v>
      </c>
      <c r="I6" s="3" t="s">
        <v>21</v>
      </c>
      <c r="J6" s="20" t="s">
        <v>428</v>
      </c>
      <c r="K6" s="20" t="str">
        <f>VLOOKUP(J6,Hoja1!$A$1:$B$5,2,0)</f>
        <v>https://forms.gle/83kUtEx8hSA39tgy7</v>
      </c>
    </row>
    <row r="7" spans="1:11" ht="42.75" x14ac:dyDescent="0.25">
      <c r="A7" s="5" t="s">
        <v>18</v>
      </c>
      <c r="B7" s="3" t="s">
        <v>39</v>
      </c>
      <c r="C7" s="5" t="s">
        <v>40</v>
      </c>
      <c r="D7" s="5" t="s">
        <v>41</v>
      </c>
      <c r="E7" s="3" t="s">
        <v>36</v>
      </c>
      <c r="F7" s="3" t="s">
        <v>42</v>
      </c>
      <c r="G7" s="3" t="s">
        <v>414</v>
      </c>
      <c r="H7" s="24" t="s">
        <v>38</v>
      </c>
      <c r="I7" s="3" t="s">
        <v>21</v>
      </c>
      <c r="J7" s="20" t="s">
        <v>430</v>
      </c>
      <c r="K7" s="20" t="str">
        <f>VLOOKUP(J7,Hoja1!$A$1:$B$5,2,0)</f>
        <v>https://forms.gle/jHH5VjT1WmWcRtWWA</v>
      </c>
    </row>
    <row r="8" spans="1:11" ht="42.75" x14ac:dyDescent="0.25">
      <c r="A8" s="5" t="s">
        <v>10</v>
      </c>
      <c r="B8" s="3" t="s">
        <v>45</v>
      </c>
      <c r="C8" s="5" t="s">
        <v>46</v>
      </c>
      <c r="D8" s="5" t="s">
        <v>47</v>
      </c>
      <c r="E8" s="3" t="s">
        <v>43</v>
      </c>
      <c r="F8" s="3" t="s">
        <v>48</v>
      </c>
      <c r="G8" s="3" t="s">
        <v>415</v>
      </c>
      <c r="H8" s="4" t="s">
        <v>49</v>
      </c>
      <c r="I8" s="3" t="s">
        <v>21</v>
      </c>
      <c r="J8" s="20" t="s">
        <v>428</v>
      </c>
      <c r="K8" s="20" t="str">
        <f>VLOOKUP(J8,Hoja1!$A$1:$B$5,2,0)</f>
        <v>https://forms.gle/83kUtEx8hSA39tgy7</v>
      </c>
    </row>
    <row r="9" spans="1:11" x14ac:dyDescent="0.25">
      <c r="A9" s="5" t="s">
        <v>10</v>
      </c>
      <c r="B9" s="3" t="s">
        <v>51</v>
      </c>
      <c r="C9" s="5" t="s">
        <v>34</v>
      </c>
      <c r="D9" s="5"/>
      <c r="E9" s="3" t="s">
        <v>50</v>
      </c>
      <c r="F9" s="3" t="s">
        <v>35</v>
      </c>
      <c r="G9" s="3" t="s">
        <v>416</v>
      </c>
      <c r="H9" s="4" t="s">
        <v>52</v>
      </c>
      <c r="I9" s="3" t="s">
        <v>21</v>
      </c>
      <c r="J9" s="20" t="s">
        <v>428</v>
      </c>
      <c r="K9" s="20" t="str">
        <f>VLOOKUP(J9,Hoja1!$A$1:$B$5,2,0)</f>
        <v>https://forms.gle/83kUtEx8hSA39tgy7</v>
      </c>
    </row>
    <row r="10" spans="1:11" ht="71.25" x14ac:dyDescent="0.25">
      <c r="A10" s="2" t="s">
        <v>18</v>
      </c>
      <c r="B10" s="2" t="s">
        <v>55</v>
      </c>
      <c r="C10" s="2" t="s">
        <v>56</v>
      </c>
      <c r="D10" s="2" t="s">
        <v>57</v>
      </c>
      <c r="E10" s="3" t="s">
        <v>53</v>
      </c>
      <c r="F10" s="3" t="s">
        <v>42</v>
      </c>
      <c r="G10" s="3" t="s">
        <v>417</v>
      </c>
      <c r="H10" s="3" t="s">
        <v>58</v>
      </c>
      <c r="I10" s="3" t="s">
        <v>21</v>
      </c>
      <c r="J10" s="20" t="s">
        <v>428</v>
      </c>
      <c r="K10" s="20" t="str">
        <f>VLOOKUP(J10,Hoja1!$A$1:$B$5,2,0)</f>
        <v>https://forms.gle/83kUtEx8hSA39tgy7</v>
      </c>
    </row>
    <row r="11" spans="1:11" ht="28.5" x14ac:dyDescent="0.25">
      <c r="A11" s="2" t="s">
        <v>60</v>
      </c>
      <c r="B11" s="2" t="s">
        <v>61</v>
      </c>
      <c r="C11" s="2" t="s">
        <v>41</v>
      </c>
      <c r="D11" s="2" t="s">
        <v>62</v>
      </c>
      <c r="E11" s="3" t="s">
        <v>59</v>
      </c>
      <c r="F11" s="3" t="s">
        <v>63</v>
      </c>
      <c r="G11" s="3" t="s">
        <v>418</v>
      </c>
      <c r="H11" s="3" t="s">
        <v>64</v>
      </c>
      <c r="I11" s="3" t="s">
        <v>21</v>
      </c>
      <c r="J11" s="20" t="s">
        <v>429</v>
      </c>
      <c r="K11" s="20" t="str">
        <f>VLOOKUP(J11,Hoja1!$A$1:$B$5,2,0)</f>
        <v>https://forms.gle/6MtmXcSL3NRdJKFf7</v>
      </c>
    </row>
    <row r="12" spans="1:11" ht="28.5" x14ac:dyDescent="0.25">
      <c r="A12" s="2" t="s">
        <v>60</v>
      </c>
      <c r="B12" s="2" t="s">
        <v>65</v>
      </c>
      <c r="C12" s="2" t="s">
        <v>41</v>
      </c>
      <c r="D12" s="2" t="s">
        <v>66</v>
      </c>
      <c r="E12" s="3" t="s">
        <v>59</v>
      </c>
      <c r="F12" s="3" t="s">
        <v>35</v>
      </c>
      <c r="G12" s="3" t="s">
        <v>418</v>
      </c>
      <c r="H12" s="3" t="s">
        <v>67</v>
      </c>
      <c r="I12" s="3" t="s">
        <v>21</v>
      </c>
      <c r="J12" s="20" t="s">
        <v>429</v>
      </c>
      <c r="K12" s="20" t="str">
        <f>VLOOKUP(J12,Hoja1!$A$1:$B$5,2,0)</f>
        <v>https://forms.gle/6MtmXcSL3NRdJKFf7</v>
      </c>
    </row>
    <row r="13" spans="1:11" ht="28.5" x14ac:dyDescent="0.25">
      <c r="A13" s="2" t="s">
        <v>68</v>
      </c>
      <c r="B13" s="2" t="s">
        <v>69</v>
      </c>
      <c r="C13" s="2" t="s">
        <v>34</v>
      </c>
      <c r="D13" s="2" t="s">
        <v>70</v>
      </c>
      <c r="E13" s="3" t="s">
        <v>348</v>
      </c>
      <c r="F13" s="3" t="s">
        <v>44</v>
      </c>
      <c r="G13" s="3" t="s">
        <v>71</v>
      </c>
      <c r="H13" s="4" t="s">
        <v>72</v>
      </c>
      <c r="I13" s="3" t="s">
        <v>21</v>
      </c>
      <c r="J13" s="20" t="s">
        <v>428</v>
      </c>
      <c r="K13" s="20" t="str">
        <f>VLOOKUP(J13,Hoja1!$A$1:$B$5,2,0)</f>
        <v>https://forms.gle/83kUtEx8hSA39tgy7</v>
      </c>
    </row>
    <row r="14" spans="1:11" ht="71.25" x14ac:dyDescent="0.25">
      <c r="A14" s="3" t="s">
        <v>18</v>
      </c>
      <c r="B14" s="3" t="s">
        <v>74</v>
      </c>
      <c r="C14" s="3" t="s">
        <v>75</v>
      </c>
      <c r="D14" s="3" t="s">
        <v>76</v>
      </c>
      <c r="E14" s="3" t="s">
        <v>73</v>
      </c>
      <c r="F14" s="3" t="s">
        <v>44</v>
      </c>
      <c r="G14" s="3" t="s">
        <v>419</v>
      </c>
      <c r="H14" s="4" t="s">
        <v>77</v>
      </c>
      <c r="I14" s="3" t="s">
        <v>78</v>
      </c>
      <c r="J14" s="20" t="s">
        <v>428</v>
      </c>
      <c r="K14" s="20" t="str">
        <f>VLOOKUP(J14,Hoja1!$A$1:$B$5,2,0)</f>
        <v>https://forms.gle/83kUtEx8hSA39tgy7</v>
      </c>
    </row>
    <row r="15" spans="1:11" ht="28.5" x14ac:dyDescent="0.25">
      <c r="A15" s="2" t="s">
        <v>80</v>
      </c>
      <c r="B15" s="2" t="s">
        <v>81</v>
      </c>
      <c r="C15" s="2" t="s">
        <v>82</v>
      </c>
      <c r="D15" s="2" t="s">
        <v>83</v>
      </c>
      <c r="E15" s="3" t="s">
        <v>79</v>
      </c>
      <c r="F15" s="3" t="s">
        <v>44</v>
      </c>
      <c r="G15" s="3" t="s">
        <v>420</v>
      </c>
      <c r="H15" s="4" t="s">
        <v>84</v>
      </c>
      <c r="I15" s="3" t="s">
        <v>21</v>
      </c>
      <c r="J15" s="20" t="s">
        <v>428</v>
      </c>
      <c r="K15" s="20" t="str">
        <f>VLOOKUP(J15,Hoja1!$A$1:$B$5,2,0)</f>
        <v>https://forms.gle/83kUtEx8hSA39tgy7</v>
      </c>
    </row>
    <row r="16" spans="1:11" ht="42.75" x14ac:dyDescent="0.25">
      <c r="A16" s="2" t="s">
        <v>54</v>
      </c>
      <c r="B16" s="2" t="s">
        <v>86</v>
      </c>
      <c r="C16" s="2" t="s">
        <v>87</v>
      </c>
      <c r="D16" s="2" t="s">
        <v>88</v>
      </c>
      <c r="E16" s="3" t="s">
        <v>353</v>
      </c>
      <c r="F16" s="3" t="s">
        <v>42</v>
      </c>
      <c r="G16" s="3" t="s">
        <v>421</v>
      </c>
      <c r="H16" s="4" t="s">
        <v>85</v>
      </c>
      <c r="I16" s="3" t="s">
        <v>21</v>
      </c>
      <c r="K16" s="20" t="e">
        <f>VLOOKUP(J16,Hoja1!$A$1:$B$5,2,0)</f>
        <v>#N/A</v>
      </c>
    </row>
    <row r="17" spans="1:11" ht="42.75" x14ac:dyDescent="0.25">
      <c r="A17" s="3" t="s">
        <v>10</v>
      </c>
      <c r="B17" s="3" t="s">
        <v>90</v>
      </c>
      <c r="C17" s="3" t="s">
        <v>70</v>
      </c>
      <c r="D17" s="3" t="s">
        <v>91</v>
      </c>
      <c r="E17" s="3" t="s">
        <v>89</v>
      </c>
      <c r="F17" s="3" t="s">
        <v>35</v>
      </c>
      <c r="G17" s="3" t="s">
        <v>422</v>
      </c>
      <c r="H17" s="4" t="s">
        <v>92</v>
      </c>
      <c r="I17" s="3" t="s">
        <v>21</v>
      </c>
      <c r="K17" s="20" t="e">
        <f>VLOOKUP(J17,Hoja1!$A$1:$B$5,2,0)</f>
        <v>#N/A</v>
      </c>
    </row>
    <row r="18" spans="1:11" ht="42.75" x14ac:dyDescent="0.25">
      <c r="A18" s="3" t="s">
        <v>18</v>
      </c>
      <c r="B18" s="3" t="s">
        <v>95</v>
      </c>
      <c r="C18" s="3" t="s">
        <v>96</v>
      </c>
      <c r="D18" s="3" t="s">
        <v>29</v>
      </c>
      <c r="E18" s="3" t="s">
        <v>93</v>
      </c>
      <c r="F18" s="3" t="s">
        <v>35</v>
      </c>
      <c r="G18" s="3" t="s">
        <v>423</v>
      </c>
      <c r="H18" s="4" t="s">
        <v>94</v>
      </c>
      <c r="I18" s="3" t="s">
        <v>21</v>
      </c>
      <c r="J18" s="20" t="s">
        <v>428</v>
      </c>
      <c r="K18" s="20" t="str">
        <f>VLOOKUP(J18,Hoja1!$A$1:$B$5,2,0)</f>
        <v>https://forms.gle/83kUtEx8hSA39tgy7</v>
      </c>
    </row>
    <row r="19" spans="1:11" ht="28.5" x14ac:dyDescent="0.25">
      <c r="A19" s="3" t="s">
        <v>18</v>
      </c>
      <c r="B19" s="3" t="s">
        <v>98</v>
      </c>
      <c r="C19" s="3" t="s">
        <v>99</v>
      </c>
      <c r="D19" s="3" t="s">
        <v>100</v>
      </c>
      <c r="E19" s="3" t="s">
        <v>97</v>
      </c>
      <c r="F19" s="3" t="s">
        <v>101</v>
      </c>
      <c r="G19" s="3" t="s">
        <v>424</v>
      </c>
      <c r="H19" s="4" t="s">
        <v>102</v>
      </c>
      <c r="I19" s="3" t="s">
        <v>21</v>
      </c>
      <c r="J19" s="20" t="s">
        <v>428</v>
      </c>
      <c r="K19" s="20" t="str">
        <f>VLOOKUP(J19,Hoja1!$A$1:$B$5,2,0)</f>
        <v>https://forms.gle/83kUtEx8hSA39tgy7</v>
      </c>
    </row>
    <row r="22" spans="1:11" s="26" customFormat="1" ht="30" x14ac:dyDescent="0.25">
      <c r="A22" s="101" t="s">
        <v>103</v>
      </c>
      <c r="B22" s="101"/>
      <c r="C22" s="101"/>
      <c r="D22" s="101"/>
      <c r="E22" s="101"/>
      <c r="F22" s="101"/>
      <c r="G22" s="101"/>
      <c r="H22" s="101"/>
      <c r="I22" s="101"/>
    </row>
    <row r="23" spans="1:11" ht="15" x14ac:dyDescent="0.25">
      <c r="A23" s="29"/>
      <c r="B23" s="28"/>
      <c r="C23" s="28"/>
      <c r="D23" s="28"/>
      <c r="E23" s="28"/>
      <c r="F23" s="28"/>
      <c r="G23" s="28"/>
      <c r="H23" s="28"/>
      <c r="I23" s="28"/>
    </row>
    <row r="24" spans="1:11" ht="30" x14ac:dyDescent="0.25">
      <c r="A24" s="21" t="s">
        <v>1</v>
      </c>
      <c r="B24" s="21" t="s">
        <v>2</v>
      </c>
      <c r="C24" s="21" t="s">
        <v>3</v>
      </c>
      <c r="D24" s="21" t="s">
        <v>4</v>
      </c>
      <c r="E24" s="21" t="s">
        <v>5</v>
      </c>
      <c r="F24" s="21" t="s">
        <v>6</v>
      </c>
      <c r="G24" s="17" t="s">
        <v>7</v>
      </c>
      <c r="H24" s="21" t="s">
        <v>8</v>
      </c>
      <c r="I24" s="21" t="s">
        <v>9</v>
      </c>
    </row>
    <row r="25" spans="1:11" ht="42.75" x14ac:dyDescent="0.25">
      <c r="A25" s="1" t="s">
        <v>10</v>
      </c>
      <c r="B25" s="2" t="s">
        <v>107</v>
      </c>
      <c r="C25" s="1" t="s">
        <v>108</v>
      </c>
      <c r="D25" s="1" t="s">
        <v>109</v>
      </c>
      <c r="E25" s="3" t="s">
        <v>105</v>
      </c>
      <c r="F25" s="3" t="s">
        <v>110</v>
      </c>
      <c r="G25" s="3" t="s">
        <v>393</v>
      </c>
      <c r="H25" s="4" t="s">
        <v>111</v>
      </c>
      <c r="I25" s="3" t="s">
        <v>106</v>
      </c>
      <c r="J25" s="20" t="s">
        <v>428</v>
      </c>
      <c r="K25" s="20" t="str">
        <f>VLOOKUP(J25,Hoja1!$A$1:$B$5,2,0)</f>
        <v>https://forms.gle/83kUtEx8hSA39tgy7</v>
      </c>
    </row>
    <row r="26" spans="1:11" ht="28.5" x14ac:dyDescent="0.25">
      <c r="A26" s="32" t="s">
        <v>54</v>
      </c>
      <c r="B26" s="32" t="s">
        <v>112</v>
      </c>
      <c r="C26" s="32" t="s">
        <v>113</v>
      </c>
      <c r="D26" s="32" t="s">
        <v>109</v>
      </c>
      <c r="E26" s="3" t="s">
        <v>114</v>
      </c>
      <c r="F26" s="3" t="s">
        <v>44</v>
      </c>
      <c r="G26" s="3" t="s">
        <v>394</v>
      </c>
      <c r="H26" s="4" t="s">
        <v>115</v>
      </c>
      <c r="I26" s="3" t="s">
        <v>106</v>
      </c>
      <c r="J26" s="20" t="s">
        <v>428</v>
      </c>
      <c r="K26" s="20" t="str">
        <f>VLOOKUP(J26,Hoja1!$A$1:$B$5,2,0)</f>
        <v>https://forms.gle/83kUtEx8hSA39tgy7</v>
      </c>
    </row>
    <row r="27" spans="1:11" ht="28.5" x14ac:dyDescent="0.25">
      <c r="A27" s="2" t="s">
        <v>10</v>
      </c>
      <c r="B27" s="2" t="s">
        <v>117</v>
      </c>
      <c r="C27" s="2" t="s">
        <v>118</v>
      </c>
      <c r="D27" s="2" t="s">
        <v>119</v>
      </c>
      <c r="E27" s="3" t="s">
        <v>116</v>
      </c>
      <c r="F27" s="3" t="s">
        <v>120</v>
      </c>
      <c r="G27" s="3" t="s">
        <v>395</v>
      </c>
      <c r="H27" s="4" t="s">
        <v>121</v>
      </c>
      <c r="I27" s="3" t="s">
        <v>106</v>
      </c>
      <c r="J27" s="20" t="s">
        <v>429</v>
      </c>
      <c r="K27" s="20" t="str">
        <f>VLOOKUP(J27,Hoja1!$A$1:$B$5,2,0)</f>
        <v>https://forms.gle/6MtmXcSL3NRdJKFf7</v>
      </c>
    </row>
    <row r="28" spans="1:11" ht="28.5" x14ac:dyDescent="0.25">
      <c r="A28" s="2" t="s">
        <v>68</v>
      </c>
      <c r="B28" s="2" t="s">
        <v>122</v>
      </c>
      <c r="C28" s="2" t="s">
        <v>123</v>
      </c>
      <c r="D28" s="2" t="s">
        <v>124</v>
      </c>
      <c r="E28" s="3" t="s">
        <v>116</v>
      </c>
      <c r="F28" s="3" t="s">
        <v>35</v>
      </c>
      <c r="G28" s="3" t="s">
        <v>395</v>
      </c>
      <c r="H28" s="4" t="s">
        <v>121</v>
      </c>
      <c r="I28" s="3" t="s">
        <v>106</v>
      </c>
      <c r="J28" s="20" t="s">
        <v>429</v>
      </c>
      <c r="K28" s="20" t="str">
        <f>VLOOKUP(J28,Hoja1!$A$1:$B$5,2,0)</f>
        <v>https://forms.gle/6MtmXcSL3NRdJKFf7</v>
      </c>
    </row>
    <row r="29" spans="1:11" ht="57" x14ac:dyDescent="0.25">
      <c r="A29" s="2" t="s">
        <v>10</v>
      </c>
      <c r="B29" s="2" t="s">
        <v>127</v>
      </c>
      <c r="C29" s="2" t="s">
        <v>128</v>
      </c>
      <c r="D29" s="2" t="s">
        <v>129</v>
      </c>
      <c r="E29" s="3" t="s">
        <v>126</v>
      </c>
      <c r="F29" s="3" t="s">
        <v>15</v>
      </c>
      <c r="G29" s="3" t="s">
        <v>396</v>
      </c>
      <c r="H29" s="23" t="s">
        <v>130</v>
      </c>
      <c r="I29" s="3" t="s">
        <v>106</v>
      </c>
      <c r="J29" s="20" t="s">
        <v>430</v>
      </c>
      <c r="K29" s="20" t="str">
        <f>VLOOKUP(J29,Hoja1!$A$1:$B$5,2,0)</f>
        <v>https://forms.gle/jHH5VjT1WmWcRtWWA</v>
      </c>
    </row>
    <row r="30" spans="1:11" ht="28.5" x14ac:dyDescent="0.25">
      <c r="A30" s="2" t="s">
        <v>132</v>
      </c>
      <c r="B30" s="2" t="s">
        <v>133</v>
      </c>
      <c r="C30" s="2" t="s">
        <v>134</v>
      </c>
      <c r="D30" s="2" t="s">
        <v>125</v>
      </c>
      <c r="E30" s="3" t="s">
        <v>131</v>
      </c>
      <c r="F30" s="3" t="s">
        <v>42</v>
      </c>
      <c r="G30" s="3" t="s">
        <v>397</v>
      </c>
      <c r="H30" s="4" t="s">
        <v>135</v>
      </c>
      <c r="I30" s="3" t="s">
        <v>106</v>
      </c>
      <c r="J30" s="20" t="s">
        <v>428</v>
      </c>
      <c r="K30" s="20" t="str">
        <f>VLOOKUP(J30,Hoja1!$A$1:$B$5,2,0)</f>
        <v>https://forms.gle/83kUtEx8hSA39tgy7</v>
      </c>
    </row>
    <row r="31" spans="1:11" ht="42.75" x14ac:dyDescent="0.25">
      <c r="A31" s="2" t="s">
        <v>10</v>
      </c>
      <c r="B31" s="2" t="s">
        <v>139</v>
      </c>
      <c r="C31" s="2" t="s">
        <v>140</v>
      </c>
      <c r="D31" s="2" t="s">
        <v>141</v>
      </c>
      <c r="E31" s="3" t="s">
        <v>136</v>
      </c>
      <c r="F31" s="3" t="s">
        <v>142</v>
      </c>
      <c r="G31" s="3" t="s">
        <v>398</v>
      </c>
      <c r="H31" s="24" t="s">
        <v>410</v>
      </c>
      <c r="I31" s="3" t="s">
        <v>106</v>
      </c>
      <c r="J31" s="20" t="s">
        <v>428</v>
      </c>
      <c r="K31" s="20" t="str">
        <f>VLOOKUP(J31,Hoja1!$A$1:$B$5,2,0)</f>
        <v>https://forms.gle/83kUtEx8hSA39tgy7</v>
      </c>
    </row>
    <row r="32" spans="1:11" ht="28.5" x14ac:dyDescent="0.25">
      <c r="A32" s="2" t="s">
        <v>60</v>
      </c>
      <c r="B32" s="2" t="s">
        <v>144</v>
      </c>
      <c r="C32" s="2" t="s">
        <v>145</v>
      </c>
      <c r="D32" s="2" t="s">
        <v>146</v>
      </c>
      <c r="E32" s="3" t="s">
        <v>143</v>
      </c>
      <c r="F32" s="22" t="s">
        <v>44</v>
      </c>
      <c r="G32" s="3" t="s">
        <v>399</v>
      </c>
      <c r="H32" s="4" t="s">
        <v>147</v>
      </c>
      <c r="I32" s="3" t="s">
        <v>106</v>
      </c>
      <c r="J32" s="20" t="s">
        <v>428</v>
      </c>
      <c r="K32" s="20" t="str">
        <f>VLOOKUP(J32,Hoja1!$A$1:$B$5,2,0)</f>
        <v>https://forms.gle/83kUtEx8hSA39tgy7</v>
      </c>
    </row>
    <row r="33" spans="1:11" ht="28.5" x14ac:dyDescent="0.25">
      <c r="A33" s="2" t="s">
        <v>132</v>
      </c>
      <c r="B33" s="2" t="s">
        <v>149</v>
      </c>
      <c r="C33" s="2" t="s">
        <v>150</v>
      </c>
      <c r="D33" s="2" t="s">
        <v>151</v>
      </c>
      <c r="E33" s="3" t="s">
        <v>148</v>
      </c>
      <c r="F33" s="22" t="s">
        <v>44</v>
      </c>
      <c r="G33" s="3" t="s">
        <v>400</v>
      </c>
      <c r="H33" s="4" t="s">
        <v>152</v>
      </c>
      <c r="I33" s="3" t="s">
        <v>153</v>
      </c>
      <c r="J33" s="20" t="s">
        <v>430</v>
      </c>
      <c r="K33" s="20" t="str">
        <f>VLOOKUP(J33,Hoja1!$A$1:$B$5,2,0)</f>
        <v>https://forms.gle/jHH5VjT1WmWcRtWWA</v>
      </c>
    </row>
    <row r="34" spans="1:11" ht="57" x14ac:dyDescent="0.25">
      <c r="A34" s="2" t="s">
        <v>54</v>
      </c>
      <c r="B34" s="2" t="s">
        <v>154</v>
      </c>
      <c r="C34" s="2" t="s">
        <v>155</v>
      </c>
      <c r="D34" s="2" t="s">
        <v>156</v>
      </c>
      <c r="E34" s="3" t="s">
        <v>157</v>
      </c>
      <c r="F34" s="2" t="s">
        <v>158</v>
      </c>
      <c r="G34" s="3" t="s">
        <v>400</v>
      </c>
      <c r="H34" s="4" t="s">
        <v>152</v>
      </c>
      <c r="I34" s="3" t="s">
        <v>153</v>
      </c>
      <c r="J34" s="20" t="s">
        <v>428</v>
      </c>
      <c r="K34" s="20" t="str">
        <f>VLOOKUP(J34,Hoja1!$A$1:$B$5,2,0)</f>
        <v>https://forms.gle/83kUtEx8hSA39tgy7</v>
      </c>
    </row>
    <row r="35" spans="1:11" ht="28.5" x14ac:dyDescent="0.25">
      <c r="A35" s="2" t="s">
        <v>18</v>
      </c>
      <c r="B35" s="2" t="s">
        <v>160</v>
      </c>
      <c r="C35" s="2" t="s">
        <v>161</v>
      </c>
      <c r="D35" s="2" t="s">
        <v>162</v>
      </c>
      <c r="E35" s="3" t="s">
        <v>159</v>
      </c>
      <c r="F35" s="3" t="s">
        <v>44</v>
      </c>
      <c r="G35" s="3" t="s">
        <v>401</v>
      </c>
      <c r="H35" s="3" t="s">
        <v>163</v>
      </c>
      <c r="I35" s="3" t="s">
        <v>106</v>
      </c>
      <c r="J35" s="20" t="s">
        <v>428</v>
      </c>
      <c r="K35" s="20" t="str">
        <f>VLOOKUP(J35,Hoja1!$A$1:$B$5,2,0)</f>
        <v>https://forms.gle/83kUtEx8hSA39tgy7</v>
      </c>
    </row>
    <row r="36" spans="1:11" ht="28.5" x14ac:dyDescent="0.25">
      <c r="A36" s="2" t="s">
        <v>18</v>
      </c>
      <c r="B36" s="2" t="s">
        <v>165</v>
      </c>
      <c r="C36" s="2" t="s">
        <v>166</v>
      </c>
      <c r="D36" s="2" t="s">
        <v>167</v>
      </c>
      <c r="E36" s="1" t="s">
        <v>164</v>
      </c>
      <c r="F36" s="1" t="s">
        <v>142</v>
      </c>
      <c r="G36" s="5" t="s">
        <v>402</v>
      </c>
      <c r="H36" s="24" t="s">
        <v>169</v>
      </c>
      <c r="I36" s="3" t="s">
        <v>106</v>
      </c>
      <c r="J36" s="20" t="s">
        <v>428</v>
      </c>
      <c r="K36" s="20" t="str">
        <f>VLOOKUP(J36,Hoja1!$A$1:$B$5,2,0)</f>
        <v>https://forms.gle/83kUtEx8hSA39tgy7</v>
      </c>
    </row>
    <row r="37" spans="1:11" ht="28.5" x14ac:dyDescent="0.25">
      <c r="A37" s="1" t="s">
        <v>10</v>
      </c>
      <c r="B37" s="2" t="s">
        <v>28</v>
      </c>
      <c r="C37" s="1" t="s">
        <v>171</v>
      </c>
      <c r="D37" s="1" t="s">
        <v>172</v>
      </c>
      <c r="E37" s="3" t="s">
        <v>170</v>
      </c>
      <c r="F37" s="3" t="s">
        <v>42</v>
      </c>
      <c r="G37" s="3" t="s">
        <v>403</v>
      </c>
      <c r="H37" s="4" t="s">
        <v>173</v>
      </c>
      <c r="I37" s="3" t="s">
        <v>106</v>
      </c>
      <c r="J37" s="20" t="s">
        <v>428</v>
      </c>
      <c r="K37" s="20" t="str">
        <f>VLOOKUP(J37,Hoja1!$A$1:$B$5,2,0)</f>
        <v>https://forms.gle/83kUtEx8hSA39tgy7</v>
      </c>
    </row>
    <row r="38" spans="1:11" ht="42.75" x14ac:dyDescent="0.25">
      <c r="A38" s="1" t="s">
        <v>10</v>
      </c>
      <c r="B38" s="2" t="s">
        <v>175</v>
      </c>
      <c r="C38" s="1" t="s">
        <v>176</v>
      </c>
      <c r="D38" s="1" t="s">
        <v>177</v>
      </c>
      <c r="E38" s="3" t="s">
        <v>174</v>
      </c>
      <c r="F38" s="22" t="s">
        <v>44</v>
      </c>
      <c r="G38" s="3" t="s">
        <v>425</v>
      </c>
      <c r="H38" s="4" t="s">
        <v>178</v>
      </c>
      <c r="I38" s="3" t="s">
        <v>106</v>
      </c>
      <c r="K38" s="20" t="e">
        <f>VLOOKUP(J38,Hoja1!$A$1:$B$5,2,0)</f>
        <v>#N/A</v>
      </c>
    </row>
    <row r="39" spans="1:11" x14ac:dyDescent="0.25">
      <c r="A39" s="1" t="s">
        <v>10</v>
      </c>
      <c r="B39" s="1" t="s">
        <v>180</v>
      </c>
      <c r="C39" s="1" t="s">
        <v>181</v>
      </c>
      <c r="D39" s="1" t="s">
        <v>182</v>
      </c>
      <c r="E39" s="3" t="s">
        <v>179</v>
      </c>
      <c r="F39" s="1" t="s">
        <v>44</v>
      </c>
      <c r="G39" s="3" t="s">
        <v>404</v>
      </c>
      <c r="H39" s="4" t="s">
        <v>183</v>
      </c>
      <c r="I39" s="3" t="s">
        <v>392</v>
      </c>
      <c r="J39" s="20" t="s">
        <v>430</v>
      </c>
      <c r="K39" s="20" t="str">
        <f>VLOOKUP(J39,Hoja1!$A$1:$B$5,2,0)</f>
        <v>https://forms.gle/jHH5VjT1WmWcRtWWA</v>
      </c>
    </row>
    <row r="40" spans="1:11" ht="42.75" x14ac:dyDescent="0.25">
      <c r="A40" s="5" t="s">
        <v>10</v>
      </c>
      <c r="B40" s="5" t="s">
        <v>184</v>
      </c>
      <c r="C40" s="5" t="s">
        <v>185</v>
      </c>
      <c r="D40" s="5" t="s">
        <v>100</v>
      </c>
      <c r="E40" s="3" t="s">
        <v>352</v>
      </c>
      <c r="F40" s="3" t="s">
        <v>15</v>
      </c>
      <c r="G40" s="3" t="s">
        <v>405</v>
      </c>
      <c r="H40" s="25" t="s">
        <v>186</v>
      </c>
      <c r="I40" s="3" t="s">
        <v>106</v>
      </c>
      <c r="K40" s="20" t="e">
        <f>VLOOKUP(J40,Hoja1!$A$1:$B$5,2,0)</f>
        <v>#N/A</v>
      </c>
    </row>
    <row r="41" spans="1:11" ht="28.5" x14ac:dyDescent="0.25">
      <c r="A41" s="5" t="s">
        <v>54</v>
      </c>
      <c r="B41" s="5" t="s">
        <v>28</v>
      </c>
      <c r="C41" s="5" t="s">
        <v>20</v>
      </c>
      <c r="D41" s="5" t="s">
        <v>188</v>
      </c>
      <c r="E41" s="5" t="s">
        <v>187</v>
      </c>
      <c r="F41" s="5" t="s">
        <v>44</v>
      </c>
      <c r="G41" s="3" t="s">
        <v>406</v>
      </c>
      <c r="H41" s="25" t="s">
        <v>189</v>
      </c>
      <c r="I41" s="3" t="s">
        <v>106</v>
      </c>
      <c r="J41" s="20" t="s">
        <v>430</v>
      </c>
      <c r="K41" s="20" t="str">
        <f>VLOOKUP(J41,Hoja1!$A$1:$B$5,2,0)</f>
        <v>https://forms.gle/jHH5VjT1WmWcRtWWA</v>
      </c>
    </row>
    <row r="42" spans="1:11" ht="28.5" x14ac:dyDescent="0.25">
      <c r="A42" s="1" t="s">
        <v>54</v>
      </c>
      <c r="B42" s="2" t="s">
        <v>191</v>
      </c>
      <c r="C42" s="1" t="s">
        <v>192</v>
      </c>
      <c r="D42" s="1" t="s">
        <v>137</v>
      </c>
      <c r="E42" s="3" t="s">
        <v>190</v>
      </c>
      <c r="F42" s="22" t="s">
        <v>142</v>
      </c>
      <c r="G42" s="3" t="s">
        <v>407</v>
      </c>
      <c r="H42" s="4" t="s">
        <v>193</v>
      </c>
      <c r="I42" s="3" t="s">
        <v>106</v>
      </c>
      <c r="J42" s="20" t="s">
        <v>428</v>
      </c>
      <c r="K42" s="20" t="str">
        <f>VLOOKUP(J42,Hoja1!$A$1:$B$5,2,0)</f>
        <v>https://forms.gle/83kUtEx8hSA39tgy7</v>
      </c>
    </row>
    <row r="43" spans="1:11" ht="28.5" x14ac:dyDescent="0.25">
      <c r="A43" s="2" t="s">
        <v>195</v>
      </c>
      <c r="B43" s="2" t="s">
        <v>196</v>
      </c>
      <c r="C43" s="2" t="s">
        <v>197</v>
      </c>
      <c r="D43" s="2" t="s">
        <v>198</v>
      </c>
      <c r="E43" s="3" t="s">
        <v>194</v>
      </c>
      <c r="F43" s="3" t="s">
        <v>44</v>
      </c>
      <c r="G43" s="3" t="s">
        <v>408</v>
      </c>
      <c r="H43" s="4" t="s">
        <v>199</v>
      </c>
      <c r="I43" s="3" t="s">
        <v>200</v>
      </c>
      <c r="J43" s="20" t="s">
        <v>430</v>
      </c>
      <c r="K43" s="20" t="str">
        <f>VLOOKUP(J43,Hoja1!$A$1:$B$5,2,0)</f>
        <v>https://forms.gle/jHH5VjT1WmWcRtWWA</v>
      </c>
    </row>
    <row r="44" spans="1:11" ht="57" x14ac:dyDescent="0.25">
      <c r="A44" s="33" t="s">
        <v>195</v>
      </c>
      <c r="B44" s="9" t="s">
        <v>202</v>
      </c>
      <c r="C44" s="33" t="s">
        <v>104</v>
      </c>
      <c r="D44" s="33" t="s">
        <v>203</v>
      </c>
      <c r="E44" s="3" t="s">
        <v>201</v>
      </c>
      <c r="F44" s="5" t="s">
        <v>44</v>
      </c>
      <c r="G44" s="3" t="s">
        <v>409</v>
      </c>
      <c r="H44" s="4" t="s">
        <v>204</v>
      </c>
      <c r="I44" s="3" t="s">
        <v>106</v>
      </c>
      <c r="J44" s="20" t="s">
        <v>428</v>
      </c>
      <c r="K44" s="20" t="str">
        <f>VLOOKUP(J44,Hoja1!$A$1:$B$5,2,0)</f>
        <v>https://forms.gle/83kUtEx8hSA39tgy7</v>
      </c>
    </row>
    <row r="47" spans="1:11" s="26" customFormat="1" ht="30" x14ac:dyDescent="0.25">
      <c r="A47" s="101" t="s">
        <v>205</v>
      </c>
      <c r="B47" s="101"/>
      <c r="C47" s="101"/>
      <c r="D47" s="101"/>
      <c r="E47" s="101"/>
      <c r="F47" s="101"/>
      <c r="G47" s="101"/>
      <c r="H47" s="101"/>
      <c r="I47" s="101"/>
    </row>
    <row r="48" spans="1:11" x14ac:dyDescent="0.25">
      <c r="A48" s="30"/>
      <c r="B48" s="30"/>
      <c r="C48" s="30"/>
      <c r="D48" s="30"/>
      <c r="E48" s="30"/>
      <c r="F48" s="30"/>
      <c r="G48" s="30"/>
      <c r="H48" s="30"/>
      <c r="I48" s="30"/>
    </row>
    <row r="49" spans="1:11" ht="30" x14ac:dyDescent="0.25">
      <c r="A49" s="18" t="s">
        <v>1</v>
      </c>
      <c r="B49" s="18" t="s">
        <v>2</v>
      </c>
      <c r="C49" s="18" t="s">
        <v>3</v>
      </c>
      <c r="D49" s="18" t="s">
        <v>4</v>
      </c>
      <c r="E49" s="18" t="s">
        <v>5</v>
      </c>
      <c r="F49" s="18" t="s">
        <v>6</v>
      </c>
      <c r="G49" s="18" t="s">
        <v>7</v>
      </c>
      <c r="H49" s="18" t="s">
        <v>8</v>
      </c>
      <c r="I49" s="18" t="s">
        <v>9</v>
      </c>
    </row>
    <row r="50" spans="1:11" ht="42.75" x14ac:dyDescent="0.25">
      <c r="A50" s="14" t="s">
        <v>10</v>
      </c>
      <c r="B50" s="12" t="s">
        <v>208</v>
      </c>
      <c r="C50" s="14" t="s">
        <v>209</v>
      </c>
      <c r="D50" s="14" t="s">
        <v>210</v>
      </c>
      <c r="E50" s="12" t="s">
        <v>206</v>
      </c>
      <c r="F50" s="12" t="s">
        <v>211</v>
      </c>
      <c r="G50" s="12" t="s">
        <v>382</v>
      </c>
      <c r="H50" s="12" t="s">
        <v>212</v>
      </c>
      <c r="I50" s="12" t="s">
        <v>207</v>
      </c>
      <c r="J50" s="20" t="s">
        <v>428</v>
      </c>
      <c r="K50" s="20" t="str">
        <f>VLOOKUP(J50,Hoja1!$A$1:$B$5,2,0)</f>
        <v>https://forms.gle/83kUtEx8hSA39tgy7</v>
      </c>
    </row>
    <row r="51" spans="1:11" ht="28.5" x14ac:dyDescent="0.25">
      <c r="A51" s="14" t="s">
        <v>10</v>
      </c>
      <c r="B51" s="12" t="s">
        <v>214</v>
      </c>
      <c r="C51" s="14" t="s">
        <v>188</v>
      </c>
      <c r="D51" s="14" t="s">
        <v>215</v>
      </c>
      <c r="E51" s="12" t="s">
        <v>213</v>
      </c>
      <c r="F51" s="12" t="s">
        <v>216</v>
      </c>
      <c r="G51" s="12" t="s">
        <v>383</v>
      </c>
      <c r="H51" s="13" t="s">
        <v>217</v>
      </c>
      <c r="I51" s="12" t="s">
        <v>207</v>
      </c>
      <c r="J51" s="20" t="s">
        <v>430</v>
      </c>
      <c r="K51" s="20" t="str">
        <f>VLOOKUP(J51,Hoja1!$A$1:$B$5,2,0)</f>
        <v>https://forms.gle/jHH5VjT1WmWcRtWWA</v>
      </c>
    </row>
    <row r="52" spans="1:11" ht="42.75" x14ac:dyDescent="0.25">
      <c r="A52" s="14" t="s">
        <v>18</v>
      </c>
      <c r="B52" s="12" t="s">
        <v>219</v>
      </c>
      <c r="C52" s="14" t="s">
        <v>220</v>
      </c>
      <c r="D52" s="14" t="s">
        <v>221</v>
      </c>
      <c r="E52" s="12" t="s">
        <v>222</v>
      </c>
      <c r="F52" s="12" t="s">
        <v>42</v>
      </c>
      <c r="G52" s="12" t="s">
        <v>384</v>
      </c>
      <c r="H52" s="12" t="s">
        <v>218</v>
      </c>
      <c r="I52" s="12" t="s">
        <v>207</v>
      </c>
      <c r="J52" s="20" t="s">
        <v>428</v>
      </c>
      <c r="K52" s="20" t="str">
        <f>VLOOKUP(J52,Hoja1!$A$1:$B$5,2,0)</f>
        <v>https://forms.gle/83kUtEx8hSA39tgy7</v>
      </c>
    </row>
    <row r="53" spans="1:11" ht="28.5" x14ac:dyDescent="0.25">
      <c r="A53" s="14" t="s">
        <v>10</v>
      </c>
      <c r="B53" s="12" t="s">
        <v>224</v>
      </c>
      <c r="C53" s="14" t="s">
        <v>225</v>
      </c>
      <c r="D53" s="14" t="s">
        <v>226</v>
      </c>
      <c r="E53" s="12" t="s">
        <v>223</v>
      </c>
      <c r="F53" s="12" t="s">
        <v>44</v>
      </c>
      <c r="G53" s="14" t="s">
        <v>385</v>
      </c>
      <c r="H53" s="13" t="s">
        <v>227</v>
      </c>
      <c r="I53" s="12" t="s">
        <v>207</v>
      </c>
      <c r="J53" s="20" t="s">
        <v>428</v>
      </c>
      <c r="K53" s="20" t="str">
        <f>VLOOKUP(J53,Hoja1!$A$1:$B$5,2,0)</f>
        <v>https://forms.gle/83kUtEx8hSA39tgy7</v>
      </c>
    </row>
    <row r="54" spans="1:11" ht="28.5" x14ac:dyDescent="0.25">
      <c r="A54" s="12" t="s">
        <v>10</v>
      </c>
      <c r="B54" s="12" t="s">
        <v>37</v>
      </c>
      <c r="C54" s="12" t="s">
        <v>229</v>
      </c>
      <c r="D54" s="12" t="s">
        <v>34</v>
      </c>
      <c r="E54" s="12" t="s">
        <v>228</v>
      </c>
      <c r="F54" s="12" t="s">
        <v>44</v>
      </c>
      <c r="G54" s="12" t="s">
        <v>386</v>
      </c>
      <c r="H54" s="13" t="s">
        <v>230</v>
      </c>
      <c r="I54" s="12" t="s">
        <v>207</v>
      </c>
      <c r="J54" s="20" t="s">
        <v>428</v>
      </c>
      <c r="K54" s="20" t="str">
        <f>VLOOKUP(J54,Hoja1!$A$1:$B$5,2,0)</f>
        <v>https://forms.gle/83kUtEx8hSA39tgy7</v>
      </c>
    </row>
    <row r="55" spans="1:11" ht="28.5" x14ac:dyDescent="0.25">
      <c r="A55" s="12" t="s">
        <v>18</v>
      </c>
      <c r="B55" s="12" t="s">
        <v>231</v>
      </c>
      <c r="C55" s="12" t="s">
        <v>232</v>
      </c>
      <c r="D55" s="12" t="s">
        <v>162</v>
      </c>
      <c r="E55" s="12" t="s">
        <v>351</v>
      </c>
      <c r="F55" s="12" t="s">
        <v>44</v>
      </c>
      <c r="G55" s="12" t="s">
        <v>387</v>
      </c>
      <c r="H55" s="13" t="s">
        <v>233</v>
      </c>
      <c r="I55" s="12" t="s">
        <v>207</v>
      </c>
      <c r="K55" s="20" t="e">
        <f>VLOOKUP(J55,Hoja1!$A$1:$B$5,2,0)</f>
        <v>#N/A</v>
      </c>
    </row>
    <row r="56" spans="1:11" ht="42.75" x14ac:dyDescent="0.25">
      <c r="A56" s="14" t="s">
        <v>10</v>
      </c>
      <c r="B56" s="12" t="s">
        <v>235</v>
      </c>
      <c r="C56" s="14" t="s">
        <v>236</v>
      </c>
      <c r="D56" s="14" t="s">
        <v>237</v>
      </c>
      <c r="E56" s="12" t="s">
        <v>234</v>
      </c>
      <c r="F56" s="12" t="s">
        <v>44</v>
      </c>
      <c r="G56" s="12" t="s">
        <v>388</v>
      </c>
      <c r="H56" s="12" t="s">
        <v>238</v>
      </c>
      <c r="I56" s="12" t="s">
        <v>391</v>
      </c>
      <c r="J56" s="20" t="s">
        <v>430</v>
      </c>
      <c r="K56" s="20" t="str">
        <f>VLOOKUP(J56,Hoja1!$A$1:$B$5,2,0)</f>
        <v>https://forms.gle/jHH5VjT1WmWcRtWWA</v>
      </c>
    </row>
    <row r="57" spans="1:11" ht="28.5" x14ac:dyDescent="0.25">
      <c r="A57" s="14" t="s">
        <v>54</v>
      </c>
      <c r="B57" s="12" t="s">
        <v>240</v>
      </c>
      <c r="C57" s="14" t="s">
        <v>34</v>
      </c>
      <c r="D57" s="14" t="s">
        <v>34</v>
      </c>
      <c r="E57" s="12" t="s">
        <v>239</v>
      </c>
      <c r="F57" s="12" t="s">
        <v>142</v>
      </c>
      <c r="G57" s="15" t="s">
        <v>389</v>
      </c>
      <c r="H57" s="13" t="s">
        <v>241</v>
      </c>
      <c r="I57" s="12" t="s">
        <v>207</v>
      </c>
      <c r="J57" s="20" t="s">
        <v>428</v>
      </c>
      <c r="K57" s="20" t="str">
        <f>VLOOKUP(J57,Hoja1!$A$1:$B$5,2,0)</f>
        <v>https://forms.gle/83kUtEx8hSA39tgy7</v>
      </c>
    </row>
    <row r="58" spans="1:11" ht="28.5" x14ac:dyDescent="0.25">
      <c r="A58" s="14" t="s">
        <v>10</v>
      </c>
      <c r="B58" s="12" t="s">
        <v>244</v>
      </c>
      <c r="C58" s="14" t="s">
        <v>243</v>
      </c>
      <c r="D58" s="14" t="s">
        <v>245</v>
      </c>
      <c r="E58" s="12" t="s">
        <v>242</v>
      </c>
      <c r="F58" s="12" t="s">
        <v>35</v>
      </c>
      <c r="G58" s="12" t="s">
        <v>390</v>
      </c>
      <c r="H58" s="13" t="s">
        <v>246</v>
      </c>
      <c r="I58" s="12" t="s">
        <v>207</v>
      </c>
      <c r="J58" s="20" t="s">
        <v>435</v>
      </c>
      <c r="K58" s="20" t="e">
        <f>VLOOKUP(J58,Hoja1!$A$1:$B$5,2,0)</f>
        <v>#N/A</v>
      </c>
    </row>
    <row r="59" spans="1:11" ht="28.5" x14ac:dyDescent="0.25">
      <c r="A59" s="14" t="s">
        <v>10</v>
      </c>
      <c r="B59" s="12" t="s">
        <v>61</v>
      </c>
      <c r="C59" s="14" t="s">
        <v>118</v>
      </c>
      <c r="D59" s="14" t="s">
        <v>248</v>
      </c>
      <c r="E59" s="12" t="s">
        <v>247</v>
      </c>
      <c r="F59" s="12" t="s">
        <v>44</v>
      </c>
      <c r="G59" s="12" t="s">
        <v>426</v>
      </c>
      <c r="H59" s="13" t="s">
        <v>249</v>
      </c>
      <c r="I59" s="12" t="s">
        <v>207</v>
      </c>
      <c r="J59" s="20" t="s">
        <v>428</v>
      </c>
      <c r="K59" s="20" t="str">
        <f>VLOOKUP(J59,Hoja1!$A$1:$B$5,2,0)</f>
        <v>https://forms.gle/83kUtEx8hSA39tgy7</v>
      </c>
    </row>
    <row r="62" spans="1:11" s="26" customFormat="1" ht="30" x14ac:dyDescent="0.25">
      <c r="A62" s="101" t="s">
        <v>250</v>
      </c>
      <c r="B62" s="101"/>
      <c r="C62" s="101"/>
      <c r="D62" s="101"/>
      <c r="E62" s="101"/>
      <c r="F62" s="101"/>
      <c r="G62" s="101"/>
      <c r="H62" s="101"/>
      <c r="I62" s="101"/>
    </row>
    <row r="63" spans="1:11" x14ac:dyDescent="0.25">
      <c r="A63" s="28"/>
      <c r="B63" s="28"/>
      <c r="C63" s="28"/>
      <c r="D63" s="28"/>
      <c r="E63" s="28"/>
      <c r="F63" s="28"/>
      <c r="G63" s="28"/>
      <c r="H63" s="28"/>
      <c r="I63" s="28"/>
    </row>
    <row r="64" spans="1:11" ht="30" x14ac:dyDescent="0.25">
      <c r="A64" s="17" t="s">
        <v>1</v>
      </c>
      <c r="B64" s="17" t="s">
        <v>2</v>
      </c>
      <c r="C64" s="17" t="s">
        <v>3</v>
      </c>
      <c r="D64" s="17" t="s">
        <v>4</v>
      </c>
      <c r="E64" s="17" t="s">
        <v>5</v>
      </c>
      <c r="F64" s="17" t="s">
        <v>6</v>
      </c>
      <c r="G64" s="17" t="s">
        <v>7</v>
      </c>
      <c r="H64" s="17" t="s">
        <v>251</v>
      </c>
      <c r="I64" s="17" t="s">
        <v>252</v>
      </c>
    </row>
    <row r="65" spans="1:11" ht="28.5" x14ac:dyDescent="0.25">
      <c r="A65" s="5" t="s">
        <v>60</v>
      </c>
      <c r="B65" s="3" t="s">
        <v>254</v>
      </c>
      <c r="C65" s="5" t="s">
        <v>255</v>
      </c>
      <c r="D65" s="5" t="s">
        <v>256</v>
      </c>
      <c r="E65" s="3" t="s">
        <v>253</v>
      </c>
      <c r="F65" s="3" t="s">
        <v>257</v>
      </c>
      <c r="G65" s="3" t="s">
        <v>374</v>
      </c>
      <c r="H65" s="4" t="s">
        <v>258</v>
      </c>
      <c r="I65" s="3" t="s">
        <v>259</v>
      </c>
      <c r="J65" s="20" t="s">
        <v>428</v>
      </c>
      <c r="K65" s="20" t="str">
        <f>VLOOKUP(J65,Hoja1!$A$1:$B$5,2,0)</f>
        <v>https://forms.gle/83kUtEx8hSA39tgy7</v>
      </c>
    </row>
    <row r="66" spans="1:11" ht="42.75" x14ac:dyDescent="0.25">
      <c r="A66" s="5" t="s">
        <v>10</v>
      </c>
      <c r="B66" s="3" t="s">
        <v>254</v>
      </c>
      <c r="C66" s="5" t="s">
        <v>41</v>
      </c>
      <c r="D66" s="5" t="s">
        <v>260</v>
      </c>
      <c r="E66" s="3" t="s">
        <v>253</v>
      </c>
      <c r="F66" s="3" t="s">
        <v>44</v>
      </c>
      <c r="G66" s="3" t="s">
        <v>375</v>
      </c>
      <c r="H66" s="4" t="s">
        <v>261</v>
      </c>
      <c r="I66" s="3" t="s">
        <v>259</v>
      </c>
      <c r="J66" s="20" t="s">
        <v>428</v>
      </c>
      <c r="K66" s="20" t="str">
        <f>VLOOKUP(J66,Hoja1!$A$1:$B$5,2,0)</f>
        <v>https://forms.gle/83kUtEx8hSA39tgy7</v>
      </c>
    </row>
    <row r="67" spans="1:11" ht="28.5" x14ac:dyDescent="0.25">
      <c r="A67" s="5" t="s">
        <v>10</v>
      </c>
      <c r="B67" s="3" t="s">
        <v>263</v>
      </c>
      <c r="C67" s="5" t="s">
        <v>82</v>
      </c>
      <c r="D67" s="5" t="s">
        <v>19</v>
      </c>
      <c r="E67" s="3" t="s">
        <v>262</v>
      </c>
      <c r="F67" s="3" t="s">
        <v>44</v>
      </c>
      <c r="G67" s="3" t="s">
        <v>376</v>
      </c>
      <c r="H67" s="4" t="s">
        <v>264</v>
      </c>
      <c r="I67" s="3" t="s">
        <v>259</v>
      </c>
      <c r="J67" s="20" t="s">
        <v>428</v>
      </c>
      <c r="K67" s="20" t="str">
        <f>VLOOKUP(J67,Hoja1!$A$1:$B$5,2,0)</f>
        <v>https://forms.gle/83kUtEx8hSA39tgy7</v>
      </c>
    </row>
    <row r="68" spans="1:11" ht="42.75" x14ac:dyDescent="0.25">
      <c r="A68" s="5" t="s">
        <v>18</v>
      </c>
      <c r="B68" s="3" t="s">
        <v>266</v>
      </c>
      <c r="C68" s="5" t="s">
        <v>267</v>
      </c>
      <c r="D68" s="5" t="s">
        <v>268</v>
      </c>
      <c r="E68" s="3" t="s">
        <v>265</v>
      </c>
      <c r="F68" s="3" t="s">
        <v>44</v>
      </c>
      <c r="G68" s="3" t="s">
        <v>377</v>
      </c>
      <c r="H68" s="4" t="s">
        <v>269</v>
      </c>
      <c r="I68" s="3" t="s">
        <v>259</v>
      </c>
      <c r="J68" s="20" t="s">
        <v>428</v>
      </c>
      <c r="K68" s="20" t="str">
        <f>VLOOKUP(J68,Hoja1!$A$1:$B$5,2,0)</f>
        <v>https://forms.gle/83kUtEx8hSA39tgy7</v>
      </c>
    </row>
    <row r="69" spans="1:11" ht="42.75" x14ac:dyDescent="0.25">
      <c r="A69" s="33" t="s">
        <v>10</v>
      </c>
      <c r="B69" s="9" t="s">
        <v>271</v>
      </c>
      <c r="C69" s="33" t="s">
        <v>19</v>
      </c>
      <c r="D69" s="33" t="s">
        <v>272</v>
      </c>
      <c r="E69" s="9" t="s">
        <v>270</v>
      </c>
      <c r="F69" s="9" t="s">
        <v>44</v>
      </c>
      <c r="G69" s="9" t="s">
        <v>378</v>
      </c>
      <c r="H69" s="34" t="s">
        <v>381</v>
      </c>
      <c r="I69" s="9" t="s">
        <v>259</v>
      </c>
      <c r="J69" s="20" t="s">
        <v>430</v>
      </c>
      <c r="K69" s="20" t="str">
        <f>VLOOKUP(J69,Hoja1!$A$1:$B$5,2,0)</f>
        <v>https://forms.gle/jHH5VjT1WmWcRtWWA</v>
      </c>
    </row>
    <row r="70" spans="1:11" ht="57" x14ac:dyDescent="0.25">
      <c r="A70" s="5" t="s">
        <v>274</v>
      </c>
      <c r="B70" s="3" t="s">
        <v>275</v>
      </c>
      <c r="C70" s="5" t="s">
        <v>276</v>
      </c>
      <c r="D70" s="5"/>
      <c r="E70" s="3" t="s">
        <v>273</v>
      </c>
      <c r="F70" s="3" t="s">
        <v>44</v>
      </c>
      <c r="G70" s="3" t="s">
        <v>379</v>
      </c>
      <c r="H70" s="4" t="s">
        <v>277</v>
      </c>
      <c r="I70" s="3" t="s">
        <v>278</v>
      </c>
      <c r="J70" s="20" t="s">
        <v>430</v>
      </c>
      <c r="K70" s="20" t="str">
        <f>VLOOKUP(J70,Hoja1!$A$1:$B$5,2,0)</f>
        <v>https://forms.gle/jHH5VjT1WmWcRtWWA</v>
      </c>
    </row>
    <row r="71" spans="1:11" ht="28.5" x14ac:dyDescent="0.25">
      <c r="A71" s="3" t="s">
        <v>68</v>
      </c>
      <c r="B71" s="3" t="s">
        <v>280</v>
      </c>
      <c r="C71" s="3" t="s">
        <v>281</v>
      </c>
      <c r="D71" s="3" t="s">
        <v>282</v>
      </c>
      <c r="E71" s="3" t="s">
        <v>350</v>
      </c>
      <c r="F71" s="3" t="s">
        <v>35</v>
      </c>
      <c r="G71" s="3" t="s">
        <v>380</v>
      </c>
      <c r="H71" s="4" t="s">
        <v>279</v>
      </c>
      <c r="I71" s="5" t="s">
        <v>259</v>
      </c>
      <c r="K71" s="20" t="e">
        <f>VLOOKUP(J71,Hoja1!$A$1:$B$5,2,0)</f>
        <v>#N/A</v>
      </c>
    </row>
    <row r="74" spans="1:11" s="26" customFormat="1" ht="30" x14ac:dyDescent="0.25">
      <c r="A74" s="101" t="s">
        <v>283</v>
      </c>
      <c r="B74" s="101"/>
      <c r="C74" s="101"/>
      <c r="D74" s="101"/>
      <c r="E74" s="101"/>
      <c r="F74" s="101"/>
      <c r="G74" s="101"/>
      <c r="H74" s="101"/>
      <c r="I74" s="101"/>
    </row>
    <row r="75" spans="1:11" ht="15" x14ac:dyDescent="0.25">
      <c r="A75" s="31"/>
      <c r="B75" s="30"/>
      <c r="C75" s="30"/>
      <c r="D75" s="30"/>
      <c r="E75" s="30"/>
      <c r="F75" s="30"/>
      <c r="G75" s="30"/>
      <c r="H75" s="30"/>
      <c r="I75" s="30"/>
    </row>
    <row r="76" spans="1:11" ht="30" x14ac:dyDescent="0.25">
      <c r="A76" s="18" t="s">
        <v>1</v>
      </c>
      <c r="B76" s="18" t="s">
        <v>2</v>
      </c>
      <c r="C76" s="18" t="s">
        <v>3</v>
      </c>
      <c r="D76" s="18" t="s">
        <v>4</v>
      </c>
      <c r="E76" s="18" t="s">
        <v>5</v>
      </c>
      <c r="F76" s="18" t="s">
        <v>6</v>
      </c>
      <c r="G76" s="18" t="s">
        <v>7</v>
      </c>
      <c r="H76" s="18" t="s">
        <v>284</v>
      </c>
      <c r="I76" s="18" t="s">
        <v>9</v>
      </c>
    </row>
    <row r="77" spans="1:11" ht="28.5" x14ac:dyDescent="0.25">
      <c r="A77" s="10" t="s">
        <v>10</v>
      </c>
      <c r="B77" s="11" t="s">
        <v>288</v>
      </c>
      <c r="C77" s="10" t="s">
        <v>289</v>
      </c>
      <c r="D77" s="10" t="s">
        <v>20</v>
      </c>
      <c r="E77" s="12" t="s">
        <v>285</v>
      </c>
      <c r="F77" s="12" t="s">
        <v>35</v>
      </c>
      <c r="G77" s="12" t="s">
        <v>355</v>
      </c>
      <c r="H77" s="13" t="s">
        <v>290</v>
      </c>
      <c r="I77" s="12" t="s">
        <v>287</v>
      </c>
      <c r="J77" s="20" t="s">
        <v>428</v>
      </c>
      <c r="K77" s="20" t="str">
        <f>VLOOKUP(J77,Hoja1!$A$1:$B$5,2,0)</f>
        <v>https://forms.gle/83kUtEx8hSA39tgy7</v>
      </c>
    </row>
    <row r="78" spans="1:11" ht="28.5" x14ac:dyDescent="0.25">
      <c r="A78" s="12" t="s">
        <v>18</v>
      </c>
      <c r="B78" s="12" t="s">
        <v>292</v>
      </c>
      <c r="C78" s="12" t="s">
        <v>293</v>
      </c>
      <c r="D78" s="12" t="s">
        <v>294</v>
      </c>
      <c r="E78" s="12" t="s">
        <v>291</v>
      </c>
      <c r="F78" s="12" t="s">
        <v>142</v>
      </c>
      <c r="G78" s="12" t="s">
        <v>356</v>
      </c>
      <c r="H78" s="13" t="s">
        <v>295</v>
      </c>
      <c r="I78" s="12" t="s">
        <v>287</v>
      </c>
      <c r="J78" s="20" t="s">
        <v>430</v>
      </c>
      <c r="K78" s="20" t="str">
        <f>VLOOKUP(J78,Hoja1!$A$1:$B$5,2,0)</f>
        <v>https://forms.gle/jHH5VjT1WmWcRtWWA</v>
      </c>
    </row>
    <row r="79" spans="1:11" ht="28.5" x14ac:dyDescent="0.25">
      <c r="A79" s="12" t="s">
        <v>10</v>
      </c>
      <c r="B79" s="12" t="s">
        <v>139</v>
      </c>
      <c r="C79" s="12" t="s">
        <v>297</v>
      </c>
      <c r="D79" s="12" t="s">
        <v>298</v>
      </c>
      <c r="E79" s="12" t="s">
        <v>296</v>
      </c>
      <c r="F79" s="12" t="s">
        <v>299</v>
      </c>
      <c r="G79" s="11" t="s">
        <v>357</v>
      </c>
      <c r="H79" s="12" t="s">
        <v>373</v>
      </c>
      <c r="I79" s="12" t="s">
        <v>287</v>
      </c>
      <c r="K79" s="20" t="e">
        <f>VLOOKUP(J79,Hoja1!$A$1:$B$5,2,0)</f>
        <v>#N/A</v>
      </c>
    </row>
    <row r="80" spans="1:11" x14ac:dyDescent="0.25">
      <c r="A80" s="12" t="s">
        <v>10</v>
      </c>
      <c r="B80" s="12" t="s">
        <v>301</v>
      </c>
      <c r="C80" s="12" t="s">
        <v>237</v>
      </c>
      <c r="D80" s="12" t="s">
        <v>302</v>
      </c>
      <c r="E80" s="12" t="s">
        <v>300</v>
      </c>
      <c r="F80" s="12" t="s">
        <v>44</v>
      </c>
      <c r="G80" s="12" t="s">
        <v>358</v>
      </c>
      <c r="H80" s="13" t="s">
        <v>303</v>
      </c>
      <c r="I80" s="12" t="s">
        <v>287</v>
      </c>
      <c r="J80" s="20" t="s">
        <v>428</v>
      </c>
      <c r="K80" s="20" t="str">
        <f>VLOOKUP(J80,Hoja1!$A$1:$B$5,2,0)</f>
        <v>https://forms.gle/83kUtEx8hSA39tgy7</v>
      </c>
    </row>
    <row r="81" spans="1:11" ht="42.75" x14ac:dyDescent="0.25">
      <c r="A81" s="12" t="s">
        <v>10</v>
      </c>
      <c r="B81" s="12" t="s">
        <v>304</v>
      </c>
      <c r="C81" s="12" t="s">
        <v>286</v>
      </c>
      <c r="D81" s="12" t="s">
        <v>34</v>
      </c>
      <c r="E81" s="12" t="s">
        <v>305</v>
      </c>
      <c r="F81" s="12" t="s">
        <v>306</v>
      </c>
      <c r="G81" s="12" t="s">
        <v>359</v>
      </c>
      <c r="H81" s="13" t="s">
        <v>371</v>
      </c>
      <c r="I81" s="12" t="s">
        <v>287</v>
      </c>
      <c r="J81" s="20" t="s">
        <v>428</v>
      </c>
      <c r="K81" s="20" t="str">
        <f>VLOOKUP(J81,Hoja1!$A$1:$B$5,2,0)</f>
        <v>https://forms.gle/83kUtEx8hSA39tgy7</v>
      </c>
    </row>
    <row r="82" spans="1:11" ht="42.75" x14ac:dyDescent="0.25">
      <c r="A82" s="12" t="s">
        <v>10</v>
      </c>
      <c r="B82" s="12" t="s">
        <v>307</v>
      </c>
      <c r="C82" s="12" t="s">
        <v>109</v>
      </c>
      <c r="D82" s="12" t="s">
        <v>308</v>
      </c>
      <c r="E82" s="12" t="s">
        <v>305</v>
      </c>
      <c r="F82" s="12" t="s">
        <v>309</v>
      </c>
      <c r="G82" s="12" t="s">
        <v>360</v>
      </c>
      <c r="H82" s="13" t="s">
        <v>372</v>
      </c>
      <c r="I82" s="12" t="s">
        <v>287</v>
      </c>
      <c r="J82" s="20" t="s">
        <v>428</v>
      </c>
      <c r="K82" s="20" t="str">
        <f>VLOOKUP(J82,Hoja1!$A$1:$B$5,2,0)</f>
        <v>https://forms.gle/83kUtEx8hSA39tgy7</v>
      </c>
    </row>
    <row r="83" spans="1:11" ht="42.75" x14ac:dyDescent="0.25">
      <c r="A83" s="14" t="s">
        <v>18</v>
      </c>
      <c r="B83" s="12" t="s">
        <v>311</v>
      </c>
      <c r="C83" s="14" t="s">
        <v>312</v>
      </c>
      <c r="D83" s="14" t="s">
        <v>313</v>
      </c>
      <c r="E83" s="12" t="s">
        <v>310</v>
      </c>
      <c r="F83" s="12" t="s">
        <v>44</v>
      </c>
      <c r="G83" s="12" t="s">
        <v>361</v>
      </c>
      <c r="H83" s="12" t="s">
        <v>314</v>
      </c>
      <c r="I83" s="12" t="s">
        <v>287</v>
      </c>
      <c r="J83" s="20" t="s">
        <v>428</v>
      </c>
      <c r="K83" s="20" t="str">
        <f>VLOOKUP(J83,Hoja1!$A$1:$B$5,2,0)</f>
        <v>https://forms.gle/83kUtEx8hSA39tgy7</v>
      </c>
    </row>
    <row r="84" spans="1:11" ht="28.5" x14ac:dyDescent="0.25">
      <c r="A84" s="14" t="s">
        <v>18</v>
      </c>
      <c r="B84" s="12" t="s">
        <v>317</v>
      </c>
      <c r="C84" s="14" t="s">
        <v>318</v>
      </c>
      <c r="D84" s="14" t="s">
        <v>75</v>
      </c>
      <c r="E84" s="12" t="s">
        <v>315</v>
      </c>
      <c r="F84" s="12" t="s">
        <v>35</v>
      </c>
      <c r="G84" s="12" t="s">
        <v>362</v>
      </c>
      <c r="H84" s="13" t="s">
        <v>319</v>
      </c>
      <c r="I84" s="12" t="s">
        <v>316</v>
      </c>
      <c r="J84" s="20" t="s">
        <v>430</v>
      </c>
      <c r="K84" s="20" t="str">
        <f>VLOOKUP(J84,Hoja1!$A$1:$B$5,2,0)</f>
        <v>https://forms.gle/jHH5VjT1WmWcRtWWA</v>
      </c>
    </row>
    <row r="85" spans="1:11" ht="28.5" x14ac:dyDescent="0.25">
      <c r="A85" s="14" t="s">
        <v>18</v>
      </c>
      <c r="B85" s="12" t="s">
        <v>321</v>
      </c>
      <c r="C85" s="14" t="s">
        <v>322</v>
      </c>
      <c r="D85" s="14" t="s">
        <v>323</v>
      </c>
      <c r="E85" s="12" t="s">
        <v>320</v>
      </c>
      <c r="F85" s="12" t="s">
        <v>211</v>
      </c>
      <c r="G85" s="12" t="s">
        <v>363</v>
      </c>
      <c r="H85" s="13" t="s">
        <v>324</v>
      </c>
      <c r="I85" s="12" t="s">
        <v>316</v>
      </c>
      <c r="J85" s="20" t="s">
        <v>428</v>
      </c>
      <c r="K85" s="20" t="str">
        <f>VLOOKUP(J85,Hoja1!$A$1:$B$5,2,0)</f>
        <v>https://forms.gle/83kUtEx8hSA39tgy7</v>
      </c>
    </row>
    <row r="86" spans="1:11" ht="42.75" x14ac:dyDescent="0.25">
      <c r="A86" s="14" t="s">
        <v>18</v>
      </c>
      <c r="B86" s="12" t="s">
        <v>326</v>
      </c>
      <c r="C86" s="14" t="s">
        <v>327</v>
      </c>
      <c r="D86" s="14" t="s">
        <v>328</v>
      </c>
      <c r="E86" s="12" t="s">
        <v>325</v>
      </c>
      <c r="F86" s="12" t="s">
        <v>44</v>
      </c>
      <c r="G86" s="12" t="s">
        <v>364</v>
      </c>
      <c r="H86" s="13" t="s">
        <v>329</v>
      </c>
      <c r="I86" s="12" t="s">
        <v>316</v>
      </c>
      <c r="J86" s="20" t="s">
        <v>428</v>
      </c>
      <c r="K86" s="20" t="str">
        <f>VLOOKUP(J86,Hoja1!$A$1:$B$5,2,0)</f>
        <v>https://forms.gle/83kUtEx8hSA39tgy7</v>
      </c>
    </row>
    <row r="87" spans="1:11" ht="28.5" x14ac:dyDescent="0.25">
      <c r="A87" s="14" t="s">
        <v>54</v>
      </c>
      <c r="B87" s="12" t="s">
        <v>331</v>
      </c>
      <c r="C87" s="14" t="s">
        <v>104</v>
      </c>
      <c r="D87" s="14" t="s">
        <v>332</v>
      </c>
      <c r="E87" s="12" t="s">
        <v>330</v>
      </c>
      <c r="F87" s="12" t="s">
        <v>138</v>
      </c>
      <c r="G87" s="12" t="s">
        <v>365</v>
      </c>
      <c r="H87" s="13" t="s">
        <v>333</v>
      </c>
      <c r="I87" s="12" t="s">
        <v>316</v>
      </c>
      <c r="J87" s="20" t="s">
        <v>428</v>
      </c>
      <c r="K87" s="20" t="str">
        <f>VLOOKUP(J87,Hoja1!$A$1:$B$5,2,0)</f>
        <v>https://forms.gle/83kUtEx8hSA39tgy7</v>
      </c>
    </row>
    <row r="88" spans="1:11" ht="28.5" x14ac:dyDescent="0.25">
      <c r="A88" s="12" t="s">
        <v>10</v>
      </c>
      <c r="B88" s="12" t="s">
        <v>340</v>
      </c>
      <c r="C88" s="12" t="s">
        <v>341</v>
      </c>
      <c r="D88" s="12"/>
      <c r="E88" s="12" t="s">
        <v>354</v>
      </c>
      <c r="F88" s="12" t="s">
        <v>168</v>
      </c>
      <c r="G88" s="12" t="s">
        <v>366</v>
      </c>
      <c r="H88" s="13" t="s">
        <v>342</v>
      </c>
      <c r="I88" s="12" t="s">
        <v>316</v>
      </c>
      <c r="K88" s="20" t="e">
        <f>VLOOKUP(J88,Hoja1!$A$1:$B$5,2,0)</f>
        <v>#N/A</v>
      </c>
    </row>
    <row r="89" spans="1:11" x14ac:dyDescent="0.25">
      <c r="A89" s="6"/>
      <c r="B89" s="7"/>
      <c r="C89" s="7"/>
      <c r="D89" s="7"/>
      <c r="E89" s="7"/>
      <c r="F89" s="7"/>
      <c r="G89" s="6"/>
      <c r="H89" s="6"/>
      <c r="I89" s="6"/>
    </row>
    <row r="90" spans="1:11" ht="15" x14ac:dyDescent="0.25">
      <c r="A90" s="8"/>
      <c r="B90" s="8"/>
      <c r="C90" s="8"/>
      <c r="D90" s="8"/>
      <c r="E90" s="8"/>
      <c r="F90" s="8"/>
      <c r="G90" s="8"/>
      <c r="H90" s="8"/>
      <c r="I90" s="8"/>
    </row>
    <row r="91" spans="1:11" ht="30" x14ac:dyDescent="0.25">
      <c r="A91" s="12" t="s">
        <v>54</v>
      </c>
      <c r="B91" s="12" t="s">
        <v>335</v>
      </c>
      <c r="C91" s="12" t="s">
        <v>336</v>
      </c>
      <c r="D91" s="12" t="s">
        <v>337</v>
      </c>
      <c r="E91" s="35" t="s">
        <v>334</v>
      </c>
      <c r="F91" s="12" t="s">
        <v>44</v>
      </c>
      <c r="G91" s="12" t="s">
        <v>367</v>
      </c>
      <c r="H91" s="19" t="s">
        <v>370</v>
      </c>
      <c r="I91" s="12" t="s">
        <v>316</v>
      </c>
      <c r="J91" s="20" t="s">
        <v>431</v>
      </c>
      <c r="K91" s="20" t="str">
        <f>VLOOKUP(J91,Hoja1!$A$1:$B$5,2,0)</f>
        <v>https://forms.gle/ML9Kq1n2aGfQywZ56</v>
      </c>
    </row>
    <row r="92" spans="1:11" ht="30" x14ac:dyDescent="0.25">
      <c r="A92" s="15" t="s">
        <v>54</v>
      </c>
      <c r="B92" s="15" t="s">
        <v>338</v>
      </c>
      <c r="C92" s="15" t="s">
        <v>75</v>
      </c>
      <c r="D92" s="15" t="s">
        <v>34</v>
      </c>
      <c r="E92" s="36" t="s">
        <v>334</v>
      </c>
      <c r="F92" s="15" t="s">
        <v>35</v>
      </c>
      <c r="G92" s="15" t="s">
        <v>368</v>
      </c>
      <c r="H92" s="16" t="s">
        <v>339</v>
      </c>
      <c r="I92" s="15" t="s">
        <v>316</v>
      </c>
      <c r="J92" s="20" t="s">
        <v>431</v>
      </c>
      <c r="K92" s="20" t="str">
        <f>VLOOKUP(J92,Hoja1!$A$1:$B$5,2,0)</f>
        <v>https://forms.gle/ML9Kq1n2aGfQywZ56</v>
      </c>
    </row>
    <row r="93" spans="1:11" ht="30" x14ac:dyDescent="0.25">
      <c r="A93" s="10" t="s">
        <v>54</v>
      </c>
      <c r="B93" s="11" t="s">
        <v>344</v>
      </c>
      <c r="C93" s="10" t="s">
        <v>345</v>
      </c>
      <c r="D93" s="10" t="s">
        <v>346</v>
      </c>
      <c r="E93" s="35" t="s">
        <v>343</v>
      </c>
      <c r="F93" s="12" t="s">
        <v>44</v>
      </c>
      <c r="G93" s="12" t="s">
        <v>369</v>
      </c>
      <c r="H93" s="13" t="s">
        <v>347</v>
      </c>
      <c r="I93" s="12" t="s">
        <v>287</v>
      </c>
      <c r="J93" s="20" t="s">
        <v>431</v>
      </c>
      <c r="K93" s="20" t="str">
        <f>VLOOKUP(J93,Hoja1!$A$1:$B$5,2,0)</f>
        <v>https://forms.gle/ML9Kq1n2aGfQywZ56</v>
      </c>
    </row>
  </sheetData>
  <mergeCells count="5">
    <mergeCell ref="A47:I47"/>
    <mergeCell ref="A62:I62"/>
    <mergeCell ref="A74:I74"/>
    <mergeCell ref="A1:I1"/>
    <mergeCell ref="A22:I22"/>
  </mergeCells>
  <hyperlinks>
    <hyperlink ref="H4" r:id="rId1"/>
    <hyperlink ref="H5" r:id="rId2"/>
    <hyperlink ref="H6" r:id="rId3"/>
    <hyperlink ref="H8" r:id="rId4"/>
    <hyperlink ref="H9" r:id="rId5"/>
    <hyperlink ref="H13" r:id="rId6"/>
    <hyperlink ref="H14" r:id="rId7"/>
    <hyperlink ref="H15" r:id="rId8"/>
    <hyperlink ref="H16" r:id="rId9"/>
    <hyperlink ref="H17" r:id="rId10"/>
    <hyperlink ref="H18" r:id="rId11"/>
    <hyperlink ref="H19" r:id="rId12"/>
    <hyperlink ref="H25" r:id="rId13"/>
    <hyperlink ref="H26" r:id="rId14"/>
    <hyperlink ref="H27" r:id="rId15"/>
    <hyperlink ref="H28" r:id="rId16"/>
    <hyperlink ref="H29" r:id="rId17"/>
    <hyperlink ref="H30" r:id="rId18"/>
    <hyperlink ref="H31" r:id="rId19"/>
    <hyperlink ref="H32" r:id="rId20"/>
    <hyperlink ref="H36" r:id="rId21"/>
    <hyperlink ref="H37" r:id="rId22"/>
    <hyperlink ref="H38" r:id="rId23"/>
    <hyperlink ref="H39" r:id="rId24"/>
    <hyperlink ref="H40" r:id="rId25"/>
    <hyperlink ref="H41" r:id="rId26"/>
    <hyperlink ref="H42" r:id="rId27"/>
    <hyperlink ref="H43" r:id="rId28"/>
    <hyperlink ref="H44" r:id="rId29"/>
    <hyperlink ref="H51" r:id="rId30"/>
    <hyperlink ref="H53" r:id="rId31"/>
    <hyperlink ref="H54" r:id="rId32"/>
    <hyperlink ref="H55" r:id="rId33"/>
    <hyperlink ref="H57" r:id="rId34"/>
    <hyperlink ref="H58" r:id="rId35"/>
    <hyperlink ref="H59" r:id="rId36"/>
    <hyperlink ref="H65" r:id="rId37"/>
    <hyperlink ref="H66" r:id="rId38"/>
    <hyperlink ref="H67" r:id="rId39"/>
    <hyperlink ref="H68" r:id="rId40"/>
    <hyperlink ref="H70" r:id="rId41"/>
    <hyperlink ref="H71" r:id="rId42"/>
    <hyperlink ref="H78" r:id="rId43"/>
    <hyperlink ref="H84" r:id="rId44"/>
    <hyperlink ref="H85" r:id="rId45"/>
    <hyperlink ref="H86" r:id="rId46"/>
    <hyperlink ref="H91" r:id="rId47"/>
    <hyperlink ref="H92" r:id="rId48"/>
    <hyperlink ref="H88" r:id="rId49"/>
    <hyperlink ref="H93" r:id="rId50"/>
  </hyperlinks>
  <printOptions horizontalCentered="1" verticalCentered="1"/>
  <pageMargins left="0.43307086614173229" right="0.43307086614173229" top="0.23622047244094491" bottom="0.23622047244094491" header="0" footer="0"/>
  <pageSetup scale="55" orientation="landscape" r:id="rId5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C6"/>
  <sheetViews>
    <sheetView workbookViewId="0">
      <selection activeCell="B2" sqref="B2"/>
    </sheetView>
  </sheetViews>
  <sheetFormatPr baseColWidth="10" defaultRowHeight="15" x14ac:dyDescent="0.25"/>
  <cols>
    <col min="1" max="1" width="17.42578125" customWidth="1"/>
    <col min="2" max="2" width="35.85546875" customWidth="1"/>
  </cols>
  <sheetData>
    <row r="1" spans="1:3" x14ac:dyDescent="0.25">
      <c r="A1" t="s">
        <v>427</v>
      </c>
      <c r="B1" t="s">
        <v>432</v>
      </c>
    </row>
    <row r="2" spans="1:3" x14ac:dyDescent="0.25">
      <c r="A2" t="s">
        <v>428</v>
      </c>
      <c r="B2" s="98" t="s">
        <v>581</v>
      </c>
      <c r="C2" s="97" t="s">
        <v>586</v>
      </c>
    </row>
    <row r="3" spans="1:3" x14ac:dyDescent="0.25">
      <c r="A3" t="s">
        <v>429</v>
      </c>
      <c r="B3" s="37" t="s">
        <v>584</v>
      </c>
      <c r="C3" s="97" t="s">
        <v>587</v>
      </c>
    </row>
    <row r="4" spans="1:3" x14ac:dyDescent="0.25">
      <c r="A4" t="s">
        <v>430</v>
      </c>
      <c r="B4" s="37" t="s">
        <v>583</v>
      </c>
      <c r="C4" s="97" t="s">
        <v>588</v>
      </c>
    </row>
    <row r="5" spans="1:3" x14ac:dyDescent="0.25">
      <c r="A5" t="s">
        <v>431</v>
      </c>
      <c r="B5" s="37" t="s">
        <v>585</v>
      </c>
      <c r="C5" s="97" t="s">
        <v>589</v>
      </c>
    </row>
    <row r="6" spans="1:3" x14ac:dyDescent="0.25">
      <c r="B6" s="93" t="s">
        <v>582</v>
      </c>
    </row>
  </sheetData>
  <hyperlinks>
    <hyperlink ref="B2" r:id="rId1"/>
    <hyperlink ref="B3" r:id="rId2"/>
    <hyperlink ref="B4" r:id="rId3"/>
    <hyperlink ref="B5" r:id="rId4"/>
    <hyperlink ref="B6" r:id="rId5"/>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60"/>
  <sheetViews>
    <sheetView workbookViewId="0">
      <selection sqref="A1:L1"/>
    </sheetView>
  </sheetViews>
  <sheetFormatPr baseColWidth="10" defaultRowHeight="15" x14ac:dyDescent="0.25"/>
  <cols>
    <col min="9" max="9" width="18" customWidth="1"/>
  </cols>
  <sheetData>
    <row r="1" spans="1:12" ht="45" x14ac:dyDescent="0.25">
      <c r="A1" t="s">
        <v>436</v>
      </c>
      <c r="B1" s="17" t="s">
        <v>1</v>
      </c>
      <c r="C1" s="17" t="s">
        <v>2</v>
      </c>
      <c r="D1" s="17" t="s">
        <v>4</v>
      </c>
      <c r="E1" s="17" t="s">
        <v>3</v>
      </c>
      <c r="F1" s="17" t="s">
        <v>5</v>
      </c>
      <c r="G1" s="17" t="s">
        <v>6</v>
      </c>
      <c r="H1" s="17" t="s">
        <v>7</v>
      </c>
      <c r="I1" s="17" t="s">
        <v>8</v>
      </c>
      <c r="J1" s="17" t="s">
        <v>9</v>
      </c>
      <c r="K1" s="17" t="s">
        <v>433</v>
      </c>
      <c r="L1" s="17" t="s">
        <v>434</v>
      </c>
    </row>
    <row r="2" spans="1:12" x14ac:dyDescent="0.25">
      <c r="A2">
        <v>1</v>
      </c>
      <c r="B2" t="str">
        <f>'5 regiones'!A4</f>
        <v>LIC.</v>
      </c>
      <c r="C2" t="str">
        <f>'5 regiones'!B4</f>
        <v>MÓNICA ROCÍO</v>
      </c>
      <c r="D2" t="str">
        <f>'5 regiones'!C4</f>
        <v>VILLARREAL</v>
      </c>
      <c r="E2" t="str">
        <f>'5 regiones'!D4</f>
        <v>SAUCEDA</v>
      </c>
      <c r="F2" t="str">
        <f>'5 regiones'!E4</f>
        <v>ASOCIACION DE INDUSTRIALES Y EMPRESARIOS DE RAMOS ARIZPE,  A.C.</v>
      </c>
      <c r="G2" t="str">
        <f>'5 regiones'!F4</f>
        <v>DIRECTORA GENERAL</v>
      </c>
      <c r="H2" t="str">
        <f>'5 regiones'!G4</f>
        <v>844 134 8794
844 134 8795
844 488 4411
C. 844 277 3181</v>
      </c>
      <c r="I2" t="str">
        <f>'5 regiones'!H4</f>
        <v>monica.villarreal@aiera.org.mx; monica.herandez@aiera.org.mx</v>
      </c>
      <c r="J2" t="str">
        <f>'5 regiones'!I4</f>
        <v>Ramos Arizpe</v>
      </c>
      <c r="K2" t="str">
        <f>'5 regiones'!J4</f>
        <v>Empresas</v>
      </c>
      <c r="L2" t="str">
        <f>'5 regiones'!K4</f>
        <v>https://forms.gle/83kUtEx8hSA39tgy7</v>
      </c>
    </row>
    <row r="3" spans="1:12" x14ac:dyDescent="0.25">
      <c r="A3">
        <v>2</v>
      </c>
      <c r="B3" t="str">
        <f>'5 regiones'!A5</f>
        <v>MTRA.</v>
      </c>
      <c r="C3" t="str">
        <f>'5 regiones'!B5</f>
        <v>CYNTHIA</v>
      </c>
      <c r="D3" t="str">
        <f>'5 regiones'!C5</f>
        <v>ARRAZOLA</v>
      </c>
      <c r="E3" t="str">
        <f>'5 regiones'!D5</f>
        <v>OLLERVIDES</v>
      </c>
      <c r="F3" t="str">
        <f>'5 regiones'!E5</f>
        <v>CAMARA NACIONAL DE LA INDUSTRIA DE LA TRANSFORMACION DELEGACION COAHUILA SURESTE</v>
      </c>
      <c r="G3" t="str">
        <f>'5 regiones'!F5</f>
        <v>DIRECTOR GENERAL</v>
      </c>
      <c r="H3" t="str">
        <f>'5 regiones'!G5</f>
        <v>844 415 7222
C. 844 129 9760</v>
      </c>
      <c r="I3" t="str">
        <f>'5 regiones'!H5</f>
        <v xml:space="preserve">cyarrazola@canacintra-saltillo.org.mx; </v>
      </c>
      <c r="J3" t="str">
        <f>'5 regiones'!I5</f>
        <v>Saltillo</v>
      </c>
      <c r="K3" t="str">
        <f>'5 regiones'!J5</f>
        <v>Empresas</v>
      </c>
      <c r="L3" t="str">
        <f>'5 regiones'!K5</f>
        <v>https://forms.gle/83kUtEx8hSA39tgy7</v>
      </c>
    </row>
    <row r="4" spans="1:12" x14ac:dyDescent="0.25">
      <c r="A4">
        <v>3</v>
      </c>
      <c r="B4" t="str">
        <f>'5 regiones'!A6</f>
        <v>ING.</v>
      </c>
      <c r="C4" t="str">
        <f>'5 regiones'!B6</f>
        <v>CATALINA</v>
      </c>
      <c r="D4" t="str">
        <f>'5 regiones'!C6</f>
        <v>NIÑO</v>
      </c>
      <c r="E4" t="str">
        <f>'5 regiones'!D6</f>
        <v>RODRÍGUEZ</v>
      </c>
      <c r="F4" t="str">
        <f>'5 regiones'!E6</f>
        <v xml:space="preserve">CAMARA MEXICANA DE LA INDUSTRIA DE LA CONSTRUCCION DELEGACION COAHUILA SURESTE </v>
      </c>
      <c r="G4" t="str">
        <f>'5 regiones'!F6</f>
        <v>GERENTE</v>
      </c>
      <c r="H4" t="str">
        <f>'5 regiones'!G6</f>
        <v>844 415 1541
C. 844 359 8582</v>
      </c>
      <c r="I4" t="str">
        <f>'5 regiones'!H6</f>
        <v>cmicsaltillo@live.com.mx;</v>
      </c>
      <c r="J4" t="str">
        <f>'5 regiones'!I6</f>
        <v>Saltillo</v>
      </c>
      <c r="K4" t="str">
        <f>'5 regiones'!J6</f>
        <v>Empresas</v>
      </c>
      <c r="L4" t="str">
        <f>'5 regiones'!K6</f>
        <v>https://forms.gle/83kUtEx8hSA39tgy7</v>
      </c>
    </row>
    <row r="5" spans="1:12" x14ac:dyDescent="0.25">
      <c r="A5">
        <v>4</v>
      </c>
      <c r="B5" t="str">
        <f>'5 regiones'!A7</f>
        <v>ING.</v>
      </c>
      <c r="C5" t="str">
        <f>'5 regiones'!B7</f>
        <v>CÉSAR ARMANDO</v>
      </c>
      <c r="D5" t="str">
        <f>'5 regiones'!C7</f>
        <v>VALDÉS</v>
      </c>
      <c r="E5" t="str">
        <f>'5 regiones'!D7</f>
        <v>RAMOS</v>
      </c>
      <c r="F5" t="str">
        <f>'5 regiones'!E7</f>
        <v>CAMARA NACIONAL DE COMERCIO, SERVICIOS Y TURISMO DE SALTILLO / FECADECO</v>
      </c>
      <c r="G5" t="str">
        <f>'5 regiones'!F7</f>
        <v>DIRECTOR</v>
      </c>
      <c r="H5" t="str">
        <f>'5 regiones'!G7</f>
        <v>844 134 5390 al 93
844 415 5611
C. 844 427 8427</v>
      </c>
      <c r="I5" t="str">
        <f>'5 regiones'!H7</f>
        <v>direccion@canacosaltillo.com.mx; asistentedireccion@canacosaltillo.com.mx;</v>
      </c>
      <c r="J5" t="str">
        <f>'5 regiones'!I7</f>
        <v>Saltillo</v>
      </c>
      <c r="K5" t="str">
        <f>'5 regiones'!J7</f>
        <v>Comerciantes</v>
      </c>
      <c r="L5" t="str">
        <f>'5 regiones'!K7</f>
        <v>https://forms.gle/jHH5VjT1WmWcRtWWA</v>
      </c>
    </row>
    <row r="6" spans="1:12" x14ac:dyDescent="0.25">
      <c r="A6">
        <v>5</v>
      </c>
      <c r="B6" t="str">
        <f>'5 regiones'!A8</f>
        <v>LIC.</v>
      </c>
      <c r="C6" t="str">
        <f>'5 regiones'!B8</f>
        <v xml:space="preserve">LUIS </v>
      </c>
      <c r="D6" t="str">
        <f>'5 regiones'!C8</f>
        <v>TORRES</v>
      </c>
      <c r="E6" t="str">
        <f>'5 regiones'!D8</f>
        <v xml:space="preserve">ARZUAGA </v>
      </c>
      <c r="F6" t="str">
        <f>'5 regiones'!E8</f>
        <v>CAMARA NACIONAL DE LA INDUSTRIA DE RESTAURANTES Y ALIMENTOS CONDIMENTADOS SALTILLO</v>
      </c>
      <c r="G6" t="str">
        <f>'5 regiones'!F8</f>
        <v>DIRECCION</v>
      </c>
      <c r="H6" t="str">
        <f>'5 regiones'!G8</f>
        <v>844 415 5038
C. 844 362 7070
C. 844 427 1270</v>
      </c>
      <c r="I6" t="str">
        <f>'5 regiones'!H8</f>
        <v>contacto@caniracsaltillo.mx</v>
      </c>
      <c r="J6" t="str">
        <f>'5 regiones'!I8</f>
        <v>Saltillo</v>
      </c>
      <c r="K6" t="str">
        <f>'5 regiones'!J8</f>
        <v>Empresas</v>
      </c>
      <c r="L6" t="str">
        <f>'5 regiones'!K8</f>
        <v>https://forms.gle/83kUtEx8hSA39tgy7</v>
      </c>
    </row>
    <row r="7" spans="1:12" x14ac:dyDescent="0.25">
      <c r="A7">
        <v>6</v>
      </c>
      <c r="B7" t="str">
        <f>'5 regiones'!A9</f>
        <v>LIC.</v>
      </c>
      <c r="C7" t="str">
        <f>'5 regiones'!B9</f>
        <v>LORENA</v>
      </c>
      <c r="D7" t="str">
        <f>'5 regiones'!C9</f>
        <v>RODRÍGUEZ</v>
      </c>
      <c r="E7">
        <f>'5 regiones'!D9</f>
        <v>0</v>
      </c>
      <c r="F7" t="str">
        <f>'5 regiones'!E9</f>
        <v>CANADEVI COAHUILA</v>
      </c>
      <c r="G7" t="str">
        <f>'5 regiones'!F9</f>
        <v>GERENTE</v>
      </c>
      <c r="H7" t="str">
        <f>'5 regiones'!G9</f>
        <v>C. 811 020 4673</v>
      </c>
      <c r="I7" t="str">
        <f>'5 regiones'!H9</f>
        <v>coahuila@canadevi.com.mx;</v>
      </c>
      <c r="J7" t="str">
        <f>'5 regiones'!I9</f>
        <v>Saltillo</v>
      </c>
      <c r="K7" t="str">
        <f>'5 regiones'!J9</f>
        <v>Empresas</v>
      </c>
      <c r="L7" t="str">
        <f>'5 regiones'!K9</f>
        <v>https://forms.gle/83kUtEx8hSA39tgy7</v>
      </c>
    </row>
    <row r="8" spans="1:12" x14ac:dyDescent="0.25">
      <c r="A8">
        <v>7</v>
      </c>
      <c r="B8" t="str">
        <f>'5 regiones'!A10</f>
        <v>ING.</v>
      </c>
      <c r="C8" t="str">
        <f>'5 regiones'!B10</f>
        <v>MIGUEL</v>
      </c>
      <c r="D8" t="str">
        <f>'5 regiones'!C10</f>
        <v>MONROY</v>
      </c>
      <c r="E8" t="str">
        <f>'5 regiones'!D10</f>
        <v>ROBLES</v>
      </c>
      <c r="F8" t="str">
        <f>'5 regiones'!E10</f>
        <v>COPARMEX COAHUILA SURESTE</v>
      </c>
      <c r="G8" t="str">
        <f>'5 regiones'!F10</f>
        <v>DIRECTOR</v>
      </c>
      <c r="H8" t="str">
        <f>'5 regiones'!G10</f>
        <v>844 415 3412
844 416 2307
844 416 2310
844 415 8941
C. 844 196 9617</v>
      </c>
      <c r="I8" t="str">
        <f>'5 regiones'!H10</f>
        <v>mmonroy@coparmexcoahuila.org.mx; direccion@coparmexcoahuila.org.mx;</v>
      </c>
      <c r="J8" t="str">
        <f>'5 regiones'!I10</f>
        <v>Saltillo</v>
      </c>
      <c r="K8" t="str">
        <f>'5 regiones'!J10</f>
        <v>Empresas</v>
      </c>
      <c r="L8" t="str">
        <f>'5 regiones'!K10</f>
        <v>https://forms.gle/83kUtEx8hSA39tgy7</v>
      </c>
    </row>
    <row r="9" spans="1:12" x14ac:dyDescent="0.25">
      <c r="A9">
        <v>8</v>
      </c>
      <c r="B9" t="str">
        <f>'5 regiones'!A11</f>
        <v>SR.</v>
      </c>
      <c r="C9" t="str">
        <f>'5 regiones'!B11</f>
        <v>JUAN MANUEL</v>
      </c>
      <c r="D9" t="str">
        <f>'5 regiones'!C11</f>
        <v>RAMOS</v>
      </c>
      <c r="E9" t="str">
        <f>'5 regiones'!D11</f>
        <v>CANTÚ</v>
      </c>
      <c r="F9" t="str">
        <f>'5 regiones'!E11</f>
        <v>CANACAR</v>
      </c>
      <c r="G9" t="str">
        <f>'5 regiones'!F11</f>
        <v xml:space="preserve">DELEGADO </v>
      </c>
      <c r="H9" t="str">
        <f>'5 regiones'!G11</f>
        <v>844 906 0357</v>
      </c>
      <c r="I9" t="str">
        <f>'5 regiones'!H11</f>
        <v>saltillo@canacar.com.mx; delegado.saltillo@canacar.com.mx</v>
      </c>
      <c r="J9" t="str">
        <f>'5 regiones'!I11</f>
        <v>Saltillo</v>
      </c>
      <c r="K9" t="str">
        <f>'5 regiones'!J11</f>
        <v xml:space="preserve">Transportistas </v>
      </c>
      <c r="L9" t="str">
        <f>'5 regiones'!K11</f>
        <v>https://forms.gle/6MtmXcSL3NRdJKFf7</v>
      </c>
    </row>
    <row r="10" spans="1:12" x14ac:dyDescent="0.25">
      <c r="A10">
        <v>9</v>
      </c>
      <c r="B10" t="str">
        <f>'5 regiones'!A12</f>
        <v>SR.</v>
      </c>
      <c r="C10" t="str">
        <f>'5 regiones'!B12</f>
        <v>CARLOS JOSÉ</v>
      </c>
      <c r="D10" t="str">
        <f>'5 regiones'!C12</f>
        <v>RAMOS</v>
      </c>
      <c r="E10" t="str">
        <f>'5 regiones'!D12</f>
        <v>AGUIRRE</v>
      </c>
      <c r="F10" t="str">
        <f>'5 regiones'!E12</f>
        <v>CANACAR</v>
      </c>
      <c r="G10" t="str">
        <f>'5 regiones'!F12</f>
        <v>GERENTE</v>
      </c>
      <c r="H10" t="str">
        <f>'5 regiones'!G12</f>
        <v>844 906 0357</v>
      </c>
      <c r="I10" t="str">
        <f>'5 regiones'!H12</f>
        <v>saltillo@canacar.com.mx; delegado.saltillo@canacar.com.mx;</v>
      </c>
      <c r="J10" t="str">
        <f>'5 regiones'!I12</f>
        <v>Saltillo</v>
      </c>
      <c r="K10" t="str">
        <f>'5 regiones'!J12</f>
        <v xml:space="preserve">Transportistas </v>
      </c>
      <c r="L10" t="str">
        <f>'5 regiones'!K12</f>
        <v>https://forms.gle/6MtmXcSL3NRdJKFf7</v>
      </c>
    </row>
    <row r="11" spans="1:12" x14ac:dyDescent="0.25">
      <c r="A11">
        <v>10</v>
      </c>
      <c r="B11" t="str">
        <f>'5 regiones'!A13</f>
        <v xml:space="preserve">ING. </v>
      </c>
      <c r="C11" t="str">
        <f>'5 regiones'!B13</f>
        <v>JOSE ANTONIO</v>
      </c>
      <c r="D11" t="str">
        <f>'5 regiones'!C13</f>
        <v>RODRÍGUEZ</v>
      </c>
      <c r="E11" t="str">
        <f>'5 regiones'!D13</f>
        <v>FUENTES</v>
      </c>
      <c r="F11" t="str">
        <f>'5 regiones'!E13</f>
        <v>CÁMARA DE LA PROPIEDAD INMOBILIARIA COAHUILA SURESTE A.C. (CAPI)</v>
      </c>
      <c r="G11" t="str">
        <f>'5 regiones'!F13</f>
        <v>PRESIDENTE</v>
      </c>
      <c r="H11" t="str">
        <f>'5 regiones'!G13</f>
        <v>844 427 09 33</v>
      </c>
      <c r="I11" t="str">
        <f>'5 regiones'!H13</f>
        <v>arrenda.saltillo@gmail.com</v>
      </c>
      <c r="J11" t="str">
        <f>'5 regiones'!I13</f>
        <v>Saltillo</v>
      </c>
      <c r="K11" t="str">
        <f>'5 regiones'!J13</f>
        <v>Empresas</v>
      </c>
      <c r="L11" t="str">
        <f>'5 regiones'!K13</f>
        <v>https://forms.gle/83kUtEx8hSA39tgy7</v>
      </c>
    </row>
    <row r="12" spans="1:12" x14ac:dyDescent="0.25">
      <c r="A12">
        <v>11</v>
      </c>
      <c r="B12" t="str">
        <f>'5 regiones'!A14</f>
        <v>ING.</v>
      </c>
      <c r="C12" t="str">
        <f>'5 regiones'!B14</f>
        <v>LUIS GILBERTO</v>
      </c>
      <c r="D12" t="str">
        <f>'5 regiones'!C14</f>
        <v>GONZÁLEZ</v>
      </c>
      <c r="E12" t="str">
        <f>'5 regiones'!D14</f>
        <v>AROCHA</v>
      </c>
      <c r="F12" t="str">
        <f>'5 regiones'!E14</f>
        <v>ASOCIACIÓN MEXICANA DE HOTELES Y MOTELES DE COAHUILA</v>
      </c>
      <c r="G12" t="str">
        <f>'5 regiones'!F14</f>
        <v>PRESIDENTE</v>
      </c>
      <c r="H12" t="str">
        <f>'5 regiones'!G14</f>
        <v>869 696 0667
866 112 3438
844 416 6636
844 134 5138
Asoc. 844 415 3107</v>
      </c>
      <c r="I12" t="str">
        <f>'5 regiones'!H14</f>
        <v>dmcdecoah@hotmail.com</v>
      </c>
      <c r="J12" t="str">
        <f>'5 regiones'!I14</f>
        <v xml:space="preserve">Monclova </v>
      </c>
      <c r="K12" t="str">
        <f>'5 regiones'!J14</f>
        <v>Empresas</v>
      </c>
      <c r="L12" t="str">
        <f>'5 regiones'!K14</f>
        <v>https://forms.gle/83kUtEx8hSA39tgy7</v>
      </c>
    </row>
    <row r="13" spans="1:12" x14ac:dyDescent="0.25">
      <c r="A13">
        <v>12</v>
      </c>
      <c r="B13" t="str">
        <f>'5 regiones'!A15</f>
        <v>DR.</v>
      </c>
      <c r="C13" t="str">
        <f>'5 regiones'!B15</f>
        <v>ROGELIO</v>
      </c>
      <c r="D13" t="str">
        <f>'5 regiones'!C15</f>
        <v>MONTEMAYOR</v>
      </c>
      <c r="E13" t="str">
        <f>'5 regiones'!D15</f>
        <v>SEGUY</v>
      </c>
      <c r="F13" t="str">
        <f>'5 regiones'!E15</f>
        <v>CLÚSTER DE ENERGIA COAHUILA, A.C.</v>
      </c>
      <c r="G13" t="str">
        <f>'5 regiones'!F15</f>
        <v>PRESIDENTE</v>
      </c>
      <c r="H13" t="str">
        <f>'5 regiones'!G15</f>
        <v>844 415 2720
844 415 2787</v>
      </c>
      <c r="I13" t="str">
        <f>'5 regiones'!H15</f>
        <v>presidencia@clusterenergia.org;</v>
      </c>
      <c r="J13" t="str">
        <f>'5 regiones'!I15</f>
        <v>Saltillo</v>
      </c>
      <c r="K13" t="str">
        <f>'5 regiones'!J15</f>
        <v>Empresas</v>
      </c>
      <c r="L13" t="str">
        <f>'5 regiones'!K15</f>
        <v>https://forms.gle/83kUtEx8hSA39tgy7</v>
      </c>
    </row>
    <row r="14" spans="1:12" x14ac:dyDescent="0.25">
      <c r="A14">
        <v>13</v>
      </c>
      <c r="B14" t="str">
        <f>'5 regiones'!A18</f>
        <v>ING.</v>
      </c>
      <c r="C14" t="str">
        <f>'5 regiones'!B18</f>
        <v>RICARDO</v>
      </c>
      <c r="D14" t="str">
        <f>'5 regiones'!C18</f>
        <v>SALDIVAR</v>
      </c>
      <c r="E14" t="str">
        <f>'5 regiones'!D18</f>
        <v>DÁVILA</v>
      </c>
      <c r="F14" t="str">
        <f>'5 regiones'!E18</f>
        <v xml:space="preserve">VINOS DE COAHUILA PROVICO, A.C. </v>
      </c>
      <c r="G14" t="str">
        <f>'5 regiones'!F18</f>
        <v>GERENTE</v>
      </c>
      <c r="H14" t="str">
        <f>'5 regiones'!G18</f>
        <v>844 280 0021
844 485 4698
C. 844 280 0021</v>
      </c>
      <c r="I14" t="str">
        <f>'5 regiones'!H18</f>
        <v xml:space="preserve">comitevitivinicoladecoahuila@gmail.com; </v>
      </c>
      <c r="J14" t="str">
        <f>'5 regiones'!I18</f>
        <v>Saltillo</v>
      </c>
      <c r="K14" t="str">
        <f>'5 regiones'!J18</f>
        <v>Empresas</v>
      </c>
      <c r="L14" t="str">
        <f>'5 regiones'!K18</f>
        <v>https://forms.gle/83kUtEx8hSA39tgy7</v>
      </c>
    </row>
    <row r="15" spans="1:12" x14ac:dyDescent="0.25">
      <c r="A15">
        <v>14</v>
      </c>
      <c r="B15" t="str">
        <f>'5 regiones'!A19</f>
        <v>ING.</v>
      </c>
      <c r="C15" t="str">
        <f>'5 regiones'!B19</f>
        <v>HECTOR</v>
      </c>
      <c r="D15" t="str">
        <f>'5 regiones'!C19</f>
        <v xml:space="preserve">MEDRANO </v>
      </c>
      <c r="E15" t="str">
        <f>'5 regiones'!D19</f>
        <v>FLORES</v>
      </c>
      <c r="F15" t="str">
        <f>'5 regiones'!E19</f>
        <v>CAMARA NACIONAL DEL ALUMINIO</v>
      </c>
      <c r="G15" t="str">
        <f>'5 regiones'!F19</f>
        <v>DELEGADO EN COAHUILA</v>
      </c>
      <c r="H15" t="str">
        <f>'5 regiones'!G19</f>
        <v>844 285 9881
844 415 3614</v>
      </c>
      <c r="I15" t="str">
        <f>'5 regiones'!H19</f>
        <v>juridico@cactusvalley.com.mx; hmedranof@cactusvalley.com.mx;</v>
      </c>
      <c r="J15" t="str">
        <f>'5 regiones'!I19</f>
        <v>Saltillo</v>
      </c>
      <c r="K15" t="str">
        <f>'5 regiones'!J19</f>
        <v>Empresas</v>
      </c>
      <c r="L15" t="str">
        <f>'5 regiones'!K19</f>
        <v>https://forms.gle/83kUtEx8hSA39tgy7</v>
      </c>
    </row>
    <row r="16" spans="1:12" x14ac:dyDescent="0.25">
      <c r="A16">
        <v>15</v>
      </c>
      <c r="B16" t="str">
        <f>'5 regiones'!A25</f>
        <v>LIC.</v>
      </c>
      <c r="C16" t="str">
        <f>'5 regiones'!B25</f>
        <v>ALEJANDRA</v>
      </c>
      <c r="D16" t="str">
        <f>'5 regiones'!C25</f>
        <v>HURTADO</v>
      </c>
      <c r="E16" t="str">
        <f>'5 regiones'!D25</f>
        <v>HERNANDEZ</v>
      </c>
      <c r="F16" t="str">
        <f>'5 regiones'!E25</f>
        <v>CANACINTRA TORREON</v>
      </c>
      <c r="G16" t="str">
        <f>'5 regiones'!F25</f>
        <v>DIRECCION GENERAL</v>
      </c>
      <c r="H16" t="str">
        <f>'5 regiones'!G25</f>
        <v>871 716 1072 
C. 871 113 6804</v>
      </c>
      <c r="I16" t="str">
        <f>'5 regiones'!H25</f>
        <v xml:space="preserve">torreon@canacintra.org.mx; direccion@canacintratorreon.org; recepcion@canacintratorreon.org; </v>
      </c>
      <c r="J16" t="str">
        <f>'5 regiones'!I25</f>
        <v>Torreón</v>
      </c>
      <c r="K16" t="str">
        <f>'5 regiones'!J25</f>
        <v>Empresas</v>
      </c>
      <c r="L16" t="str">
        <f>'5 regiones'!K25</f>
        <v>https://forms.gle/83kUtEx8hSA39tgy7</v>
      </c>
    </row>
    <row r="17" spans="1:12" x14ac:dyDescent="0.25">
      <c r="A17">
        <v>16</v>
      </c>
      <c r="B17" t="str">
        <f>'5 regiones'!A26</f>
        <v>C.P.</v>
      </c>
      <c r="C17" t="str">
        <f>'5 regiones'!B26</f>
        <v xml:space="preserve">ADEL </v>
      </c>
      <c r="D17" t="str">
        <f>'5 regiones'!C26</f>
        <v>ALCALA</v>
      </c>
      <c r="E17" t="str">
        <f>'5 regiones'!D26</f>
        <v>HERNANDEZ</v>
      </c>
      <c r="F17" t="str">
        <f>'5 regiones'!E26</f>
        <v>CAMARA DE LA PROPIEDAD URBANA DE TORREON,  A.C.</v>
      </c>
      <c r="G17" t="str">
        <f>'5 regiones'!F26</f>
        <v>PRESIDENTE</v>
      </c>
      <c r="H17" t="str">
        <f>'5 regiones'!G26</f>
        <v>871 192 8400
871 192 7788</v>
      </c>
      <c r="I17" t="str">
        <f>'5 regiones'!H26</f>
        <v>cputorreon@hotmail.com;</v>
      </c>
      <c r="J17" t="str">
        <f>'5 regiones'!I26</f>
        <v>Torreón</v>
      </c>
      <c r="K17" t="str">
        <f>'5 regiones'!J26</f>
        <v>Empresas</v>
      </c>
      <c r="L17" t="str">
        <f>'5 regiones'!K26</f>
        <v>https://forms.gle/83kUtEx8hSA39tgy7</v>
      </c>
    </row>
    <row r="18" spans="1:12" x14ac:dyDescent="0.25">
      <c r="A18">
        <v>17</v>
      </c>
      <c r="B18" t="str">
        <f>'5 regiones'!A27</f>
        <v>LIC.</v>
      </c>
      <c r="C18" t="str">
        <f>'5 regiones'!B27</f>
        <v>ANTONIO MARIO</v>
      </c>
      <c r="D18" t="str">
        <f>'5 regiones'!C27</f>
        <v>DAVILA</v>
      </c>
      <c r="E18" t="str">
        <f>'5 regiones'!D27</f>
        <v>VILLAR</v>
      </c>
      <c r="F18" t="str">
        <f>'5 regiones'!E27</f>
        <v xml:space="preserve">CANACAR REGIÓN LAGUNA </v>
      </c>
      <c r="G18" t="str">
        <f>'5 regiones'!F27</f>
        <v>DELEGADO</v>
      </c>
      <c r="H18" t="str">
        <f>'5 regiones'!G27</f>
        <v xml:space="preserve">871 722 5993  </v>
      </c>
      <c r="I18" t="str">
        <f>'5 regiones'!H27</f>
        <v>canacar_cl@hotmail.com;  torreon@canacar.com.mx</v>
      </c>
      <c r="J18" t="str">
        <f>'5 regiones'!I27</f>
        <v>Torreón</v>
      </c>
      <c r="K18" t="str">
        <f>'5 regiones'!J27</f>
        <v xml:space="preserve">Transportistas </v>
      </c>
      <c r="L18" t="str">
        <f>'5 regiones'!K27</f>
        <v>https://forms.gle/6MtmXcSL3NRdJKFf7</v>
      </c>
    </row>
    <row r="19" spans="1:12" x14ac:dyDescent="0.25">
      <c r="A19">
        <v>18</v>
      </c>
      <c r="B19" t="str">
        <f>'5 regiones'!A28</f>
        <v xml:space="preserve">ING. </v>
      </c>
      <c r="C19" t="str">
        <f>'5 regiones'!B28</f>
        <v>THYRA</v>
      </c>
      <c r="D19" t="str">
        <f>'5 regiones'!C28</f>
        <v>ESTAVILLO</v>
      </c>
      <c r="E19" t="str">
        <f>'5 regiones'!D28</f>
        <v>BASURTO</v>
      </c>
      <c r="F19" t="str">
        <f>'5 regiones'!E28</f>
        <v xml:space="preserve">CANACAR REGIÓN LAGUNA </v>
      </c>
      <c r="G19" t="str">
        <f>'5 regiones'!F28</f>
        <v>GERENTE</v>
      </c>
      <c r="H19" t="str">
        <f>'5 regiones'!G28</f>
        <v xml:space="preserve">871 722 5993  </v>
      </c>
      <c r="I19" t="str">
        <f>'5 regiones'!H28</f>
        <v>canacar_cl@hotmail.com;  torreon@canacar.com.mx</v>
      </c>
      <c r="J19" t="str">
        <f>'5 regiones'!I28</f>
        <v>Torreón</v>
      </c>
      <c r="K19" t="str">
        <f>'5 regiones'!J28</f>
        <v xml:space="preserve">Transportistas </v>
      </c>
      <c r="L19" t="str">
        <f>'5 regiones'!K28</f>
        <v>https://forms.gle/6MtmXcSL3NRdJKFf7</v>
      </c>
    </row>
    <row r="20" spans="1:12" x14ac:dyDescent="0.25">
      <c r="A20">
        <v>19</v>
      </c>
      <c r="B20" t="str">
        <f>'5 regiones'!A29</f>
        <v>LIC.</v>
      </c>
      <c r="C20" t="str">
        <f>'5 regiones'!B29</f>
        <v>CATALYNA AYLEMA</v>
      </c>
      <c r="D20" t="str">
        <f>'5 regiones'!C29</f>
        <v>RIVAS</v>
      </c>
      <c r="E20" t="str">
        <f>'5 regiones'!D29</f>
        <v>BUSTAMANTE</v>
      </c>
      <c r="F20" t="str">
        <f>'5 regiones'!E29</f>
        <v xml:space="preserve">CANACO TORREON </v>
      </c>
      <c r="G20" t="str">
        <f>'5 regiones'!F29</f>
        <v>DIRECTORA GENERAL</v>
      </c>
      <c r="H20" t="str">
        <f>'5 regiones'!G29</f>
        <v>871 716 8822
871 716 5420
871 716 2404
C. 871 116 9119</v>
      </c>
      <c r="I20" t="str">
        <f>'5 regiones'!H29</f>
        <v>direcciongeneral@canacotorreon.mx; asistentedireccion@canacotorreon.com.mx;</v>
      </c>
      <c r="J20" t="str">
        <f>'5 regiones'!I29</f>
        <v>Torreón</v>
      </c>
      <c r="K20" t="str">
        <f>'5 regiones'!J29</f>
        <v>Comerciantes</v>
      </c>
      <c r="L20" t="str">
        <f>'5 regiones'!K29</f>
        <v>https://forms.gle/jHH5VjT1WmWcRtWWA</v>
      </c>
    </row>
    <row r="21" spans="1:12" x14ac:dyDescent="0.25">
      <c r="A21">
        <v>20</v>
      </c>
      <c r="B21" t="str">
        <f>'5 regiones'!A30</f>
        <v xml:space="preserve">LIC. </v>
      </c>
      <c r="C21" t="str">
        <f>'5 regiones'!B30</f>
        <v>TALIA</v>
      </c>
      <c r="D21" t="str">
        <f>'5 regiones'!C30</f>
        <v>ROMERO</v>
      </c>
      <c r="E21" t="str">
        <f>'5 regiones'!D30</f>
        <v>MUÑOZ</v>
      </c>
      <c r="F21" t="str">
        <f>'5 regiones'!E30</f>
        <v xml:space="preserve">FOMENTO ECONÓMICO LAGUNA, A.C. </v>
      </c>
      <c r="G21" t="str">
        <f>'5 regiones'!F30</f>
        <v>DIRECTOR</v>
      </c>
      <c r="H21" t="str">
        <f>'5 regiones'!G30</f>
        <v>871 732 0929
C. 871 234 5879</v>
      </c>
      <c r="I21" t="str">
        <f>'5 regiones'!H30</f>
        <v>promero@fomec.org.mx</v>
      </c>
      <c r="J21" t="str">
        <f>'5 regiones'!I30</f>
        <v>Torreón</v>
      </c>
      <c r="K21" t="str">
        <f>'5 regiones'!J30</f>
        <v>Empresas</v>
      </c>
      <c r="L21" t="str">
        <f>'5 regiones'!K30</f>
        <v>https://forms.gle/83kUtEx8hSA39tgy7</v>
      </c>
    </row>
    <row r="22" spans="1:12" x14ac:dyDescent="0.25">
      <c r="A22">
        <v>21</v>
      </c>
      <c r="B22" t="str">
        <f>'5 regiones'!A31</f>
        <v>LIC.</v>
      </c>
      <c r="C22" t="str">
        <f>'5 regiones'!B31</f>
        <v>FERNANDO</v>
      </c>
      <c r="D22" t="str">
        <f>'5 regiones'!C31</f>
        <v>CARILLO</v>
      </c>
      <c r="E22" t="str">
        <f>'5 regiones'!D31</f>
        <v>BALDERAS</v>
      </c>
      <c r="F22" t="str">
        <f>'5 regiones'!E31</f>
        <v>COPARMEX DELEGACIÓN LAGUNA</v>
      </c>
      <c r="G22" t="str">
        <f>'5 regiones'!F31</f>
        <v>DIRECTORA</v>
      </c>
      <c r="H22" t="str">
        <f>'5 regiones'!G31</f>
        <v>871 713 6769
871 717 5497</v>
      </c>
      <c r="I22" t="str">
        <f>'5 regiones'!H31</f>
        <v xml:space="preserve">presidencia@coparmexlaguna.org.mx; capacitacion@coparmexlaguna.org.mx; direccion@coparmexlaguna.org.mx; </v>
      </c>
      <c r="J22" t="str">
        <f>'5 regiones'!I31</f>
        <v>Torreón</v>
      </c>
      <c r="K22" t="str">
        <f>'5 regiones'!J31</f>
        <v>Empresas</v>
      </c>
      <c r="L22" t="str">
        <f>'5 regiones'!K31</f>
        <v>https://forms.gle/83kUtEx8hSA39tgy7</v>
      </c>
    </row>
    <row r="23" spans="1:12" x14ac:dyDescent="0.25">
      <c r="A23">
        <v>22</v>
      </c>
      <c r="B23" t="str">
        <f>'5 regiones'!A32</f>
        <v>SR.</v>
      </c>
      <c r="C23" t="str">
        <f>'5 regiones'!B32</f>
        <v>LUIS JUAN</v>
      </c>
      <c r="D23" t="str">
        <f>'5 regiones'!C32</f>
        <v>MARCOS</v>
      </c>
      <c r="E23" t="str">
        <f>'5 regiones'!D32</f>
        <v>ISSA</v>
      </c>
      <c r="F23" t="str">
        <f>'5 regiones'!E32</f>
        <v>CÁMARA NACIONAL DE LA INDUSTRIA DEL VESTIDO DELEGACIÓN LAGUNA</v>
      </c>
      <c r="G23" t="str">
        <f>'5 regiones'!F32</f>
        <v>PRESIDENTE</v>
      </c>
      <c r="H23" t="str">
        <f>'5 regiones'!G32</f>
        <v>871 227 2525
871 227 2555</v>
      </c>
      <c r="I23" t="str">
        <f>'5 regiones'!H32</f>
        <v xml:space="preserve">jrobles@canainve.org; </v>
      </c>
      <c r="J23" t="str">
        <f>'5 regiones'!I32</f>
        <v>Torreón</v>
      </c>
      <c r="K23" t="str">
        <f>'5 regiones'!J32</f>
        <v>Empresas</v>
      </c>
      <c r="L23" t="str">
        <f>'5 regiones'!K32</f>
        <v>https://forms.gle/83kUtEx8hSA39tgy7</v>
      </c>
    </row>
    <row r="24" spans="1:12" x14ac:dyDescent="0.25">
      <c r="A24">
        <v>23</v>
      </c>
      <c r="B24" t="str">
        <f>'5 regiones'!A33</f>
        <v xml:space="preserve">LIC. </v>
      </c>
      <c r="C24" t="str">
        <f>'5 regiones'!B33</f>
        <v>ABERLARDO ANTERO</v>
      </c>
      <c r="D24" t="str">
        <f>'5 regiones'!C33</f>
        <v>FERANDEZ</v>
      </c>
      <c r="E24" t="str">
        <f>'5 regiones'!D33</f>
        <v>CAVAZOS</v>
      </c>
      <c r="F24" t="str">
        <f>'5 regiones'!E33</f>
        <v>CANACO SAN PEDRO</v>
      </c>
      <c r="G24" t="str">
        <f>'5 regiones'!F33</f>
        <v>PRESIDENTE</v>
      </c>
      <c r="H24" t="str">
        <f>'5 regiones'!G33</f>
        <v>872 121 3253</v>
      </c>
      <c r="I24" t="str">
        <f>'5 regiones'!H33</f>
        <v>top_veterinaria@yahoo.com.mx; laura4luna@yahoo.com.mx;</v>
      </c>
      <c r="J24" t="str">
        <f>'5 regiones'!I33</f>
        <v xml:space="preserve">San Pedro </v>
      </c>
      <c r="K24" t="str">
        <f>'5 regiones'!J33</f>
        <v>Comerciantes</v>
      </c>
      <c r="L24" t="str">
        <f>'5 regiones'!K33</f>
        <v>https://forms.gle/jHH5VjT1WmWcRtWWA</v>
      </c>
    </row>
    <row r="25" spans="1:12" x14ac:dyDescent="0.25">
      <c r="A25">
        <v>24</v>
      </c>
      <c r="B25" t="str">
        <f>'5 regiones'!A34</f>
        <v>C.P.</v>
      </c>
      <c r="C25" t="str">
        <f>'5 regiones'!B34</f>
        <v>OSCAR</v>
      </c>
      <c r="D25" t="str">
        <f>'5 regiones'!C34</f>
        <v>SALOMON</v>
      </c>
      <c r="E25" t="str">
        <f>'5 regiones'!D34</f>
        <v>MILAN ABAD</v>
      </c>
      <c r="F25" t="str">
        <f>'5 regiones'!E34</f>
        <v>CANACINTRA</v>
      </c>
      <c r="G25" t="str">
        <f>'5 regiones'!F34</f>
        <v>COORDINADOR NACIONAL DE ASESORES DE DELEGACIONES</v>
      </c>
      <c r="H25" t="str">
        <f>'5 regiones'!G34</f>
        <v>872 121 3253</v>
      </c>
      <c r="I25" t="str">
        <f>'5 regiones'!H34</f>
        <v>top_veterinaria@yahoo.com.mx; laura4luna@yahoo.com.mx;</v>
      </c>
      <c r="J25" t="str">
        <f>'5 regiones'!I34</f>
        <v xml:space="preserve">San Pedro </v>
      </c>
      <c r="K25" t="str">
        <f>'5 regiones'!J34</f>
        <v>Empresas</v>
      </c>
      <c r="L25" t="str">
        <f>'5 regiones'!K34</f>
        <v>https://forms.gle/83kUtEx8hSA39tgy7</v>
      </c>
    </row>
    <row r="26" spans="1:12" x14ac:dyDescent="0.25">
      <c r="A26">
        <v>25</v>
      </c>
      <c r="B26" t="str">
        <f>'5 regiones'!A35</f>
        <v>ING.</v>
      </c>
      <c r="C26" t="str">
        <f>'5 regiones'!B35</f>
        <v>MARIO IGNACIO</v>
      </c>
      <c r="D26" t="str">
        <f>'5 regiones'!C35</f>
        <v xml:space="preserve">VALDÉS </v>
      </c>
      <c r="E26" t="str">
        <f>'5 regiones'!D35</f>
        <v>QUINTANILLA</v>
      </c>
      <c r="F26" t="str">
        <f>'5 regiones'!E35</f>
        <v>CÁMARA AGRÍCOLA Y GANADERA DE TORREÓN, A.C.</v>
      </c>
      <c r="G26" t="str">
        <f>'5 regiones'!F35</f>
        <v>PRESIDENTE</v>
      </c>
      <c r="H26" t="str">
        <f>'5 regiones'!G35</f>
        <v>871 712 0317
871 716 2006</v>
      </c>
      <c r="I26" t="str">
        <f>'5 regiones'!H35</f>
        <v>gerencia@camaraagricolayganadera.org; asistentepdte@camaraagricolayganadera.org;</v>
      </c>
      <c r="J26" t="str">
        <f>'5 regiones'!I35</f>
        <v>Torreón</v>
      </c>
      <c r="K26" t="str">
        <f>'5 regiones'!J35</f>
        <v>Empresas</v>
      </c>
      <c r="L26" t="str">
        <f>'5 regiones'!K35</f>
        <v>https://forms.gle/83kUtEx8hSA39tgy7</v>
      </c>
    </row>
    <row r="27" spans="1:12" x14ac:dyDescent="0.25">
      <c r="A27">
        <v>26</v>
      </c>
      <c r="B27" t="str">
        <f>'5 regiones'!A36</f>
        <v>ING.</v>
      </c>
      <c r="C27" t="str">
        <f>'5 regiones'!B36</f>
        <v>MARIA LUISA</v>
      </c>
      <c r="D27" t="str">
        <f>'5 regiones'!C36</f>
        <v>MORALES</v>
      </c>
      <c r="E27" t="str">
        <f>'5 regiones'!D36</f>
        <v>SALAS</v>
      </c>
      <c r="F27" t="str">
        <f>'5 regiones'!E36</f>
        <v xml:space="preserve"> CLUSTER AUTOMOTRIZ LAGUNA</v>
      </c>
      <c r="G27" t="str">
        <f>'5 regiones'!F36</f>
        <v>DIRECTORA</v>
      </c>
      <c r="H27" t="str">
        <f>'5 regiones'!G36</f>
        <v xml:space="preserve">871 791 3347 </v>
      </c>
      <c r="I27" t="str">
        <f>'5 regiones'!H36</f>
        <v>luisa.morales@clusterautomotrizlaguna.com; administracion@stampl.mx;</v>
      </c>
      <c r="J27" t="str">
        <f>'5 regiones'!I36</f>
        <v>Torreón</v>
      </c>
      <c r="K27" t="str">
        <f>'5 regiones'!J36</f>
        <v>Empresas</v>
      </c>
      <c r="L27" t="str">
        <f>'5 regiones'!K36</f>
        <v>https://forms.gle/83kUtEx8hSA39tgy7</v>
      </c>
    </row>
    <row r="28" spans="1:12" x14ac:dyDescent="0.25">
      <c r="A28">
        <v>27</v>
      </c>
      <c r="B28" t="str">
        <f>'5 regiones'!A37</f>
        <v>LIC.</v>
      </c>
      <c r="C28" t="str">
        <f>'5 regiones'!B37</f>
        <v>GUILLERMO</v>
      </c>
      <c r="D28" t="str">
        <f>'5 regiones'!C37</f>
        <v>SALDAÑA</v>
      </c>
      <c r="E28" t="str">
        <f>'5 regiones'!D37</f>
        <v>WOLFF</v>
      </c>
      <c r="F28" t="str">
        <f>'5 regiones'!E37</f>
        <v>CANADEVI DELEGACIÓN COMARCA LAGUNERA</v>
      </c>
      <c r="G28" t="str">
        <f>'5 regiones'!F37</f>
        <v>DIRECTOR</v>
      </c>
      <c r="H28" t="str">
        <f>'5 regiones'!G37</f>
        <v>871 722 3525
871 722 3526</v>
      </c>
      <c r="I28" t="str">
        <f>'5 regiones'!H37</f>
        <v>admonlaguna@canadevi.com.mx; la_laguna@canadevi.com.mx;</v>
      </c>
      <c r="J28" t="str">
        <f>'5 regiones'!I37</f>
        <v>Torreón</v>
      </c>
      <c r="K28" t="str">
        <f>'5 regiones'!J37</f>
        <v>Empresas</v>
      </c>
      <c r="L28" t="str">
        <f>'5 regiones'!K37</f>
        <v>https://forms.gle/83kUtEx8hSA39tgy7</v>
      </c>
    </row>
    <row r="29" spans="1:12" x14ac:dyDescent="0.25">
      <c r="A29">
        <v>28</v>
      </c>
      <c r="B29" t="str">
        <f>'5 regiones'!A39</f>
        <v>LIC.</v>
      </c>
      <c r="C29" t="str">
        <f>'5 regiones'!B39</f>
        <v>OSCAR ALBERTO</v>
      </c>
      <c r="D29" t="str">
        <f>'5 regiones'!C39</f>
        <v>DE ÁVILA</v>
      </c>
      <c r="E29" t="str">
        <f>'5 regiones'!D39</f>
        <v>ALFARO</v>
      </c>
      <c r="F29" t="str">
        <f>'5 regiones'!E39</f>
        <v>CANACO MATAMOROS</v>
      </c>
      <c r="G29" t="str">
        <f>'5 regiones'!F39</f>
        <v>PRESIDENTE</v>
      </c>
      <c r="H29" t="str">
        <f>'5 regiones'!G39</f>
        <v>C. 871 157 4947</v>
      </c>
      <c r="I29" t="str">
        <f>'5 regiones'!H39</f>
        <v>deavilagrupo@hotmail.com</v>
      </c>
      <c r="J29" t="str">
        <f>'5 regiones'!I39</f>
        <v>Matamoros</v>
      </c>
      <c r="K29" t="str">
        <f>'5 regiones'!J39</f>
        <v>Comerciantes</v>
      </c>
      <c r="L29" t="str">
        <f>'5 regiones'!K39</f>
        <v>https://forms.gle/jHH5VjT1WmWcRtWWA</v>
      </c>
    </row>
    <row r="30" spans="1:12" x14ac:dyDescent="0.25">
      <c r="A30">
        <v>29</v>
      </c>
      <c r="B30" t="str">
        <f>'5 regiones'!A41</f>
        <v>C.P.</v>
      </c>
      <c r="C30" t="str">
        <f>'5 regiones'!B41</f>
        <v>GUILLERMO</v>
      </c>
      <c r="D30" t="str">
        <f>'5 regiones'!C41</f>
        <v>MARTÍNEZ</v>
      </c>
      <c r="E30" t="str">
        <f>'5 regiones'!D41</f>
        <v>AVILA</v>
      </c>
      <c r="F30" t="str">
        <f>'5 regiones'!E41</f>
        <v>CANIRAC</v>
      </c>
      <c r="G30" t="str">
        <f>'5 regiones'!F41</f>
        <v>PRESIDENTE</v>
      </c>
      <c r="H30" t="str">
        <f>'5 regiones'!G41</f>
        <v>871 734 2078
 871 747 8117</v>
      </c>
      <c r="I30" t="str">
        <f>'5 regiones'!H41</f>
        <v>torreon@canirac.org.mx;</v>
      </c>
      <c r="J30" t="str">
        <f>'5 regiones'!I41</f>
        <v>Torreón</v>
      </c>
      <c r="K30" t="str">
        <f>'5 regiones'!J41</f>
        <v>Comerciantes</v>
      </c>
      <c r="L30" t="str">
        <f>'5 regiones'!K41</f>
        <v>https://forms.gle/jHH5VjT1WmWcRtWWA</v>
      </c>
    </row>
    <row r="31" spans="1:12" x14ac:dyDescent="0.25">
      <c r="A31">
        <v>30</v>
      </c>
      <c r="B31" t="str">
        <f>'5 regiones'!A42</f>
        <v>C.P.</v>
      </c>
      <c r="C31" t="str">
        <f>'5 regiones'!B42</f>
        <v xml:space="preserve">TANIA </v>
      </c>
      <c r="D31" t="str">
        <f>'5 regiones'!C42</f>
        <v>LIMONES</v>
      </c>
      <c r="E31" t="str">
        <f>'5 regiones'!D42</f>
        <v>REYES</v>
      </c>
      <c r="F31" t="str">
        <f>'5 regiones'!E42</f>
        <v>CANIETI COAHUILA-DURANGO</v>
      </c>
      <c r="G31" t="str">
        <f>'5 regiones'!F42</f>
        <v>DIRECTORA</v>
      </c>
      <c r="H31" t="str">
        <f>'5 regiones'!G42</f>
        <v>C. 871 208 3614
871 210 0015</v>
      </c>
      <c r="I31" t="str">
        <f>'5 regiones'!H42</f>
        <v>direccion@canieticd.org;</v>
      </c>
      <c r="J31" t="str">
        <f>'5 regiones'!I42</f>
        <v>Torreón</v>
      </c>
      <c r="K31" t="str">
        <f>'5 regiones'!J42</f>
        <v>Empresas</v>
      </c>
      <c r="L31" t="str">
        <f>'5 regiones'!K42</f>
        <v>https://forms.gle/83kUtEx8hSA39tgy7</v>
      </c>
    </row>
    <row r="32" spans="1:12" x14ac:dyDescent="0.25">
      <c r="A32">
        <v>31</v>
      </c>
      <c r="B32" t="str">
        <f>'5 regiones'!A43</f>
        <v>LIC</v>
      </c>
      <c r="C32" t="str">
        <f>'5 regiones'!B43</f>
        <v>PERLA GUADALUPE</v>
      </c>
      <c r="D32" t="str">
        <f>'5 regiones'!C43</f>
        <v>AGUILERA</v>
      </c>
      <c r="E32" t="str">
        <f>'5 regiones'!D43</f>
        <v>BAÑUELO</v>
      </c>
      <c r="F32" t="str">
        <f>'5 regiones'!E43</f>
        <v>CANACO MADERO</v>
      </c>
      <c r="G32" t="str">
        <f>'5 regiones'!F43</f>
        <v>PRESIDENTE</v>
      </c>
      <c r="H32" t="str">
        <f>'5 regiones'!G43</f>
        <v>872 773 1292
C. 871 213 5363</v>
      </c>
      <c r="I32" t="str">
        <f>'5 regiones'!H43</f>
        <v>canaco.madero@outlook.com;</v>
      </c>
      <c r="J32" t="str">
        <f>'5 regiones'!I43</f>
        <v>Fco. I. Madero</v>
      </c>
      <c r="K32" t="str">
        <f>'5 regiones'!J43</f>
        <v>Comerciantes</v>
      </c>
      <c r="L32" t="str">
        <f>'5 regiones'!K43</f>
        <v>https://forms.gle/jHH5VjT1WmWcRtWWA</v>
      </c>
    </row>
    <row r="33" spans="1:12" x14ac:dyDescent="0.25">
      <c r="A33">
        <v>32</v>
      </c>
      <c r="B33" t="str">
        <f>'5 regiones'!A44</f>
        <v>LIC</v>
      </c>
      <c r="C33" t="str">
        <f>'5 regiones'!B44</f>
        <v>DONATO</v>
      </c>
      <c r="D33" t="str">
        <f>'5 regiones'!C44</f>
        <v>GUTIÉRREZ</v>
      </c>
      <c r="E33" t="str">
        <f>'5 regiones'!D44</f>
        <v>GUTIERREZ</v>
      </c>
      <c r="F33" t="str">
        <f>'5 regiones'!E44</f>
        <v>CÁMARA MEXICANA DE LA INDUSTRIA DE LA CONSTRUCCIÓN DELEGACIÓN COMARCA LAGUNERA, COAHUILA Y DURANGO</v>
      </c>
      <c r="G33" t="str">
        <f>'5 regiones'!F44</f>
        <v>PRESIDENTE</v>
      </c>
      <c r="H33" t="str">
        <f>'5 regiones'!G44</f>
        <v>871 713 3361
871 717 4815
871 713 6388
C. 871 174 8415</v>
      </c>
      <c r="I33" t="str">
        <f>'5 regiones'!H44</f>
        <v xml:space="preserve">cdtconstrucciones@hotmail.com; </v>
      </c>
      <c r="J33" t="str">
        <f>'5 regiones'!I44</f>
        <v>Torreón</v>
      </c>
      <c r="K33" t="str">
        <f>'5 regiones'!J44</f>
        <v>Empresas</v>
      </c>
      <c r="L33" t="str">
        <f>'5 regiones'!K44</f>
        <v>https://forms.gle/83kUtEx8hSA39tgy7</v>
      </c>
    </row>
    <row r="34" spans="1:12" x14ac:dyDescent="0.25">
      <c r="A34">
        <v>33</v>
      </c>
      <c r="B34" t="str">
        <f>'5 regiones'!A50</f>
        <v>LIC.</v>
      </c>
      <c r="C34" t="str">
        <f>'5 regiones'!B50</f>
        <v>BONIFACIO</v>
      </c>
      <c r="D34" t="str">
        <f>'5 regiones'!C50</f>
        <v>URIBE</v>
      </c>
      <c r="E34" t="str">
        <f>'5 regiones'!D50</f>
        <v>RIOJAS</v>
      </c>
      <c r="F34" t="str">
        <f>'5 regiones'!E50</f>
        <v>CMIC, COAHUILA CENTRO-NORTE</v>
      </c>
      <c r="G34" t="str">
        <f>'5 regiones'!F50</f>
        <v>GERENTE GENERAL</v>
      </c>
      <c r="H34" t="str">
        <f>'5 regiones'!G50</f>
        <v>866 632 0591
866 633 0268
C. 866 630 0676</v>
      </c>
      <c r="I34" t="str">
        <f>'5 regiones'!H50</f>
        <v>gerenciacmiccoah@hotmail.com; cmic.monclova@gmail.com</v>
      </c>
      <c r="J34" t="str">
        <f>'5 regiones'!I50</f>
        <v xml:space="preserve">MONCLOVA </v>
      </c>
      <c r="K34" t="str">
        <f>'5 regiones'!J50</f>
        <v>Empresas</v>
      </c>
      <c r="L34" t="str">
        <f>'5 regiones'!K50</f>
        <v>https://forms.gle/83kUtEx8hSA39tgy7</v>
      </c>
    </row>
    <row r="35" spans="1:12" x14ac:dyDescent="0.25">
      <c r="A35">
        <v>34</v>
      </c>
      <c r="B35" t="str">
        <f>'5 regiones'!A51</f>
        <v>LIC.</v>
      </c>
      <c r="C35" t="str">
        <f>'5 regiones'!B51</f>
        <v>GABRIELA</v>
      </c>
      <c r="D35" t="str">
        <f>'5 regiones'!C51</f>
        <v>AVILA</v>
      </c>
      <c r="E35" t="str">
        <f>'5 regiones'!D51</f>
        <v>REBOLLOZO</v>
      </c>
      <c r="F35" t="str">
        <f>'5 regiones'!E51</f>
        <v>CANACO SERVYTUR MONCLOVA</v>
      </c>
      <c r="G35" t="str">
        <f>'5 regiones'!F51</f>
        <v>GERENTE ADMINISTRATIVO</v>
      </c>
      <c r="H35" t="str">
        <f>'5 regiones'!G51</f>
        <v>866 634 3010
866 634 2625</v>
      </c>
      <c r="I35" t="str">
        <f>'5 regiones'!H51</f>
        <v>gerencia@canacomonclova.com; socios@canacomonclova.com;</v>
      </c>
      <c r="J35" t="str">
        <f>'5 regiones'!I51</f>
        <v xml:space="preserve">MONCLOVA </v>
      </c>
      <c r="K35" t="str">
        <f>'5 regiones'!J51</f>
        <v>Comerciantes</v>
      </c>
      <c r="L35" t="str">
        <f>'5 regiones'!K51</f>
        <v>https://forms.gle/jHH5VjT1WmWcRtWWA</v>
      </c>
    </row>
    <row r="36" spans="1:12" x14ac:dyDescent="0.25">
      <c r="A36">
        <v>35</v>
      </c>
      <c r="B36" t="str">
        <f>'5 regiones'!A52</f>
        <v>ING.</v>
      </c>
      <c r="C36" t="str">
        <f>'5 regiones'!B52</f>
        <v>NORMA ALICIA</v>
      </c>
      <c r="D36" t="str">
        <f>'5 regiones'!C52</f>
        <v>CRUZ</v>
      </c>
      <c r="E36" t="str">
        <f>'5 regiones'!D52</f>
        <v>SÁNCHEZ</v>
      </c>
      <c r="F36" t="str">
        <f>'5 regiones'!E52</f>
        <v>CANACINTRA MONCLOVA</v>
      </c>
      <c r="G36" t="str">
        <f>'5 regiones'!F52</f>
        <v>DIRECTOR</v>
      </c>
      <c r="H36" t="str">
        <f>'5 regiones'!G52</f>
        <v>866 633 6633
866 631 0900</v>
      </c>
      <c r="I36" t="str">
        <f>'5 regiones'!H52</f>
        <v>director@canacintramonclova.org; recepcion@canacintramonclova.org; presidente@canacintramonclova.org;</v>
      </c>
      <c r="J36" t="str">
        <f>'5 regiones'!I52</f>
        <v xml:space="preserve">MONCLOVA </v>
      </c>
      <c r="K36" t="str">
        <f>'5 regiones'!J52</f>
        <v>Empresas</v>
      </c>
      <c r="L36" t="str">
        <f>'5 regiones'!K52</f>
        <v>https://forms.gle/83kUtEx8hSA39tgy7</v>
      </c>
    </row>
    <row r="37" spans="1:12" x14ac:dyDescent="0.25">
      <c r="A37">
        <v>36</v>
      </c>
      <c r="B37" t="str">
        <f>'5 regiones'!A53</f>
        <v>LIC.</v>
      </c>
      <c r="C37" t="str">
        <f>'5 regiones'!B53</f>
        <v>JOSÉ EDUARDO</v>
      </c>
      <c r="D37" t="str">
        <f>'5 regiones'!C53</f>
        <v>ARELLANO</v>
      </c>
      <c r="E37" t="str">
        <f>'5 regiones'!D53</f>
        <v>SUÁREZ</v>
      </c>
      <c r="F37" t="str">
        <f>'5 regiones'!E53</f>
        <v>UNION DE ORGANISMOS EMPRESARIALES DEL CENTRO DEL ESTADO DE COAHUILA, A.C.</v>
      </c>
      <c r="G37" t="str">
        <f>'5 regiones'!F53</f>
        <v>PRESIDENTE</v>
      </c>
      <c r="H37" t="str">
        <f>'5 regiones'!G53</f>
        <v>866 105 2304</v>
      </c>
      <c r="I37" t="str">
        <f>'5 regiones'!H53</f>
        <v>j.arellano@grupoalimenticio.com.mx;</v>
      </c>
      <c r="J37" t="str">
        <f>'5 regiones'!I53</f>
        <v xml:space="preserve">MONCLOVA </v>
      </c>
      <c r="K37" t="str">
        <f>'5 regiones'!J53</f>
        <v>Empresas</v>
      </c>
      <c r="L37" t="str">
        <f>'5 regiones'!K53</f>
        <v>https://forms.gle/83kUtEx8hSA39tgy7</v>
      </c>
    </row>
    <row r="38" spans="1:12" x14ac:dyDescent="0.25">
      <c r="A38">
        <v>37</v>
      </c>
      <c r="B38" t="str">
        <f>'5 regiones'!A54</f>
        <v>LIC.</v>
      </c>
      <c r="C38" t="str">
        <f>'5 regiones'!B54</f>
        <v>ALEJANDRO</v>
      </c>
      <c r="D38" t="str">
        <f>'5 regiones'!C54</f>
        <v>CORONADO</v>
      </c>
      <c r="E38" t="str">
        <f>'5 regiones'!D54</f>
        <v>RODRÍGUEZ</v>
      </c>
      <c r="F38" t="str">
        <f>'5 regiones'!E54</f>
        <v>CÁMARA DE LA PROPIEDAD URBANA DE MONCLOVA</v>
      </c>
      <c r="G38" t="str">
        <f>'5 regiones'!F54</f>
        <v>PRESIDENTE</v>
      </c>
      <c r="H38" t="str">
        <f>'5 regiones'!G54</f>
        <v>866 636 1082
866 636 2405</v>
      </c>
      <c r="I38" t="str">
        <f>'5 regiones'!H54</f>
        <v>notariapublicauno_acr@prodigy.net.mx;</v>
      </c>
      <c r="J38" t="str">
        <f>'5 regiones'!I54</f>
        <v xml:space="preserve">MONCLOVA </v>
      </c>
      <c r="K38" t="str">
        <f>'5 regiones'!J54</f>
        <v>Empresas</v>
      </c>
      <c r="L38" t="str">
        <f>'5 regiones'!K54</f>
        <v>https://forms.gle/83kUtEx8hSA39tgy7</v>
      </c>
    </row>
    <row r="39" spans="1:12" x14ac:dyDescent="0.25">
      <c r="A39">
        <v>38</v>
      </c>
      <c r="B39" t="str">
        <f>'5 regiones'!A56</f>
        <v>LIC.</v>
      </c>
      <c r="C39" t="str">
        <f>'5 regiones'!B56</f>
        <v>CÉSAR ORLANDO</v>
      </c>
      <c r="D39" t="str">
        <f>'5 regiones'!C56</f>
        <v>CHÁVEZ</v>
      </c>
      <c r="E39" t="str">
        <f>'5 regiones'!D56</f>
        <v>RAMÓN</v>
      </c>
      <c r="F39" t="str">
        <f>'5 regiones'!E56</f>
        <v>CANACO FRONTERA</v>
      </c>
      <c r="G39" t="str">
        <f>'5 regiones'!F56</f>
        <v>PRESIDENTE</v>
      </c>
      <c r="H39" t="str">
        <f>'5 regiones'!G56</f>
        <v>866 634 4042  
C. 866 131 8156</v>
      </c>
      <c r="I39" t="str">
        <f>'5 regiones'!H56</f>
        <v>canacofrontera_@hotmail.com; icatec_carmenrdz@hotmail.com; cesarcocr7@gmail.com</v>
      </c>
      <c r="J39" t="str">
        <f>'5 regiones'!I56</f>
        <v>FRONTERA</v>
      </c>
      <c r="K39" t="str">
        <f>'5 regiones'!J56</f>
        <v>Comerciantes</v>
      </c>
      <c r="L39" t="str">
        <f>'5 regiones'!K56</f>
        <v>https://forms.gle/jHH5VjT1WmWcRtWWA</v>
      </c>
    </row>
    <row r="40" spans="1:12" x14ac:dyDescent="0.25">
      <c r="A40">
        <v>39</v>
      </c>
      <c r="B40" t="str">
        <f>'5 regiones'!A57</f>
        <v>C.P.</v>
      </c>
      <c r="C40" t="str">
        <f>'5 regiones'!B57</f>
        <v>MIRIAM</v>
      </c>
      <c r="D40" t="str">
        <f>'5 regiones'!C57</f>
        <v>RODRÍGUEZ</v>
      </c>
      <c r="E40" t="str">
        <f>'5 regiones'!D57</f>
        <v>RODRÍGUEZ</v>
      </c>
      <c r="F40" t="str">
        <f>'5 regiones'!E57</f>
        <v>COPARMEX MONCLOVA</v>
      </c>
      <c r="G40" t="str">
        <f>'5 regiones'!F57</f>
        <v>DIRECTORA</v>
      </c>
      <c r="H40" t="str">
        <f>'5 regiones'!G57</f>
        <v>866 163 0887</v>
      </c>
      <c r="I40" t="str">
        <f>'5 regiones'!H57</f>
        <v>mujerescoparmexmva@gmail.com; gerencia@coparmexmonclova.org;</v>
      </c>
      <c r="J40" t="str">
        <f>'5 regiones'!I57</f>
        <v xml:space="preserve">MONCLOVA </v>
      </c>
      <c r="K40" t="str">
        <f>'5 regiones'!J57</f>
        <v>Empresas</v>
      </c>
      <c r="L40" t="str">
        <f>'5 regiones'!K57</f>
        <v>https://forms.gle/83kUtEx8hSA39tgy7</v>
      </c>
    </row>
    <row r="41" spans="1:12" x14ac:dyDescent="0.25">
      <c r="A41">
        <v>40</v>
      </c>
      <c r="B41" t="str">
        <f>'5 regiones'!A59</f>
        <v>LIC.</v>
      </c>
      <c r="C41" t="str">
        <f>'5 regiones'!B59</f>
        <v>JUAN MANUEL</v>
      </c>
      <c r="D41" t="str">
        <f>'5 regiones'!C59</f>
        <v>DAVILA</v>
      </c>
      <c r="E41" t="str">
        <f>'5 regiones'!D59</f>
        <v>UDABE</v>
      </c>
      <c r="F41" t="str">
        <f>'5 regiones'!E59</f>
        <v>CAMARA DE LA INDUSTRIA DE LA RADIO Y LA TELEVISION</v>
      </c>
      <c r="G41" t="str">
        <f>'5 regiones'!F59</f>
        <v>PRESIDENTE</v>
      </c>
      <c r="H41" t="str">
        <f>'5 regiones'!G59</f>
        <v>844 412 4124
866 115 0903</v>
      </c>
      <c r="I41" t="str">
        <f>'5 regiones'!H59</f>
        <v>vnhkm@yahoo.com.mx;</v>
      </c>
      <c r="J41" t="str">
        <f>'5 regiones'!I59</f>
        <v xml:space="preserve">MONCLOVA </v>
      </c>
      <c r="K41" t="str">
        <f>'5 regiones'!J59</f>
        <v>Empresas</v>
      </c>
      <c r="L41" t="str">
        <f>'5 regiones'!K59</f>
        <v>https://forms.gle/83kUtEx8hSA39tgy7</v>
      </c>
    </row>
    <row r="42" spans="1:12" x14ac:dyDescent="0.25">
      <c r="A42">
        <v>41</v>
      </c>
      <c r="B42" t="str">
        <f>'5 regiones'!A65</f>
        <v>SR.</v>
      </c>
      <c r="C42" t="str">
        <f>'5 regiones'!B65</f>
        <v xml:space="preserve">ALBERTO </v>
      </c>
      <c r="D42" t="str">
        <f>'5 regiones'!C65</f>
        <v xml:space="preserve">LOZANO </v>
      </c>
      <c r="E42" t="str">
        <f>'5 regiones'!D65</f>
        <v xml:space="preserve">VELAZQUEZ </v>
      </c>
      <c r="F42" t="str">
        <f>'5 regiones'!E65</f>
        <v xml:space="preserve">CONSEJO EMPRESARIAL SABINAS </v>
      </c>
      <c r="G42" t="str">
        <f>'5 regiones'!F65</f>
        <v>PRESIDENTE FUNDADOR</v>
      </c>
      <c r="H42" t="str">
        <f>'5 regiones'!G65</f>
        <v>861 614 1928</v>
      </c>
      <c r="I42" t="str">
        <f>'5 regiones'!H65</f>
        <v>proteccion2000@prodigy.net.mx;  proteccion2004@gmail.com</v>
      </c>
      <c r="J42" t="str">
        <f>'5 regiones'!I65</f>
        <v>SABINAS</v>
      </c>
      <c r="K42" t="str">
        <f>'5 regiones'!J65</f>
        <v>Empresas</v>
      </c>
      <c r="L42" t="str">
        <f>'5 regiones'!K65</f>
        <v>https://forms.gle/83kUtEx8hSA39tgy7</v>
      </c>
    </row>
    <row r="43" spans="1:12" x14ac:dyDescent="0.25">
      <c r="A43">
        <v>42</v>
      </c>
      <c r="B43" t="str">
        <f>'5 regiones'!A66</f>
        <v>LIC.</v>
      </c>
      <c r="C43" t="str">
        <f>'5 regiones'!B66</f>
        <v xml:space="preserve">ALBERTO </v>
      </c>
      <c r="D43" t="str">
        <f>'5 regiones'!C66</f>
        <v>RAMOS</v>
      </c>
      <c r="E43" t="str">
        <f>'5 regiones'!D66</f>
        <v>JIMENEZ</v>
      </c>
      <c r="F43" t="str">
        <f>'5 regiones'!E66</f>
        <v xml:space="preserve">CONSEJO EMPRESARIAL SABINAS </v>
      </c>
      <c r="G43" t="str">
        <f>'5 regiones'!F66</f>
        <v>PRESIDENTE</v>
      </c>
      <c r="H43" t="str">
        <f>'5 regiones'!G66</f>
        <v xml:space="preserve">Minera Ramos
864 616 2697 </v>
      </c>
      <c r="I43" t="str">
        <f>'5 regiones'!H66</f>
        <v>proteccion2000@prodigy.net.mx; alberto.ramos@mineralesmirasa.com; produccion@grupomirasa.com;</v>
      </c>
      <c r="J43" t="str">
        <f>'5 regiones'!I66</f>
        <v>SABINAS</v>
      </c>
      <c r="K43" t="str">
        <f>'5 regiones'!J66</f>
        <v>Empresas</v>
      </c>
      <c r="L43" t="str">
        <f>'5 regiones'!K66</f>
        <v>https://forms.gle/83kUtEx8hSA39tgy7</v>
      </c>
    </row>
    <row r="44" spans="1:12" x14ac:dyDescent="0.25">
      <c r="A44">
        <v>43</v>
      </c>
      <c r="B44" t="str">
        <f>'5 regiones'!A67</f>
        <v>LIC.</v>
      </c>
      <c r="C44" t="str">
        <f>'5 regiones'!B67</f>
        <v>JOSÉ BOGAR</v>
      </c>
      <c r="D44" t="str">
        <f>'5 regiones'!C67</f>
        <v>MONTEMAYOR</v>
      </c>
      <c r="E44" t="str">
        <f>'5 regiones'!D67</f>
        <v>GARZA</v>
      </c>
      <c r="F44" t="str">
        <f>'5 regiones'!E67</f>
        <v xml:space="preserve">UNION MEXICANA DE PRODUCTORES DE CARBON, A.C. </v>
      </c>
      <c r="G44" t="str">
        <f>'5 regiones'!F67</f>
        <v>PRESIDENTE</v>
      </c>
      <c r="H44" t="str">
        <f>'5 regiones'!G67</f>
        <v>861 612 1451
C. 861 612 6609</v>
      </c>
      <c r="I44" t="str">
        <f>'5 regiones'!H67</f>
        <v xml:space="preserve">umpc_carbon@hotmail.com; </v>
      </c>
      <c r="J44" t="str">
        <f>'5 regiones'!I67</f>
        <v>SABINAS</v>
      </c>
      <c r="K44" t="str">
        <f>'5 regiones'!J67</f>
        <v>Empresas</v>
      </c>
      <c r="L44" t="str">
        <f>'5 regiones'!K67</f>
        <v>https://forms.gle/83kUtEx8hSA39tgy7</v>
      </c>
    </row>
    <row r="45" spans="1:12" x14ac:dyDescent="0.25">
      <c r="A45">
        <v>44</v>
      </c>
      <c r="B45" t="str">
        <f>'5 regiones'!A68</f>
        <v>ING.</v>
      </c>
      <c r="C45" t="str">
        <f>'5 regiones'!B68</f>
        <v>CÉSAR LUIS</v>
      </c>
      <c r="D45" t="str">
        <f>'5 regiones'!C68</f>
        <v>CENICEROS</v>
      </c>
      <c r="E45" t="str">
        <f>'5 regiones'!D68</f>
        <v>MARÍN</v>
      </c>
      <c r="F45" t="str">
        <f>'5 regiones'!E68</f>
        <v xml:space="preserve">UNION NACIONAL DE PRODUCTORES DE CARBON </v>
      </c>
      <c r="G45" t="str">
        <f>'5 regiones'!F68</f>
        <v>PRESIDENTE</v>
      </c>
      <c r="H45" t="str">
        <f>'5 regiones'!G68</f>
        <v>861 612 7035
861 612 2950 
C. 878 788 9301</v>
      </c>
      <c r="I45" t="str">
        <f>'5 regiones'!H68</f>
        <v>unp_ac@hotmail.com; silicaspn@gmail.com</v>
      </c>
      <c r="J45" t="str">
        <f>'5 regiones'!I68</f>
        <v>SABINAS</v>
      </c>
      <c r="K45" t="str">
        <f>'5 regiones'!J68</f>
        <v>Empresas</v>
      </c>
      <c r="L45" t="str">
        <f>'5 regiones'!K68</f>
        <v>https://forms.gle/83kUtEx8hSA39tgy7</v>
      </c>
    </row>
    <row r="46" spans="1:12" x14ac:dyDescent="0.25">
      <c r="A46">
        <v>45</v>
      </c>
      <c r="B46" t="str">
        <f>'5 regiones'!A69</f>
        <v>LIC.</v>
      </c>
      <c r="C46" t="str">
        <f>'5 regiones'!B69</f>
        <v>GREGORIO</v>
      </c>
      <c r="D46" t="str">
        <f>'5 regiones'!C69</f>
        <v>GARZA</v>
      </c>
      <c r="E46" t="str">
        <f>'5 regiones'!D69</f>
        <v>BALLI</v>
      </c>
      <c r="F46" t="str">
        <f>'5 regiones'!E69</f>
        <v>CANACO SERVYTUR SABINAS</v>
      </c>
      <c r="G46" t="str">
        <f>'5 regiones'!F69</f>
        <v>PRESIDENTE</v>
      </c>
      <c r="H46" t="str">
        <f>'5 regiones'!G69</f>
        <v>861 613 0708
861 613 0762
C. 861 110 0117</v>
      </c>
      <c r="I46" t="str">
        <f>'5 regiones'!H69</f>
        <v>sabicanaco@hotmail.com; sabicanaco@prodigy.net.mx</v>
      </c>
      <c r="J46" t="str">
        <f>'5 regiones'!I69</f>
        <v>SABINAS</v>
      </c>
      <c r="K46" t="str">
        <f>'5 regiones'!J69</f>
        <v>Comerciantes</v>
      </c>
      <c r="L46" t="str">
        <f>'5 regiones'!K69</f>
        <v>https://forms.gle/jHH5VjT1WmWcRtWWA</v>
      </c>
    </row>
    <row r="47" spans="1:12" x14ac:dyDescent="0.25">
      <c r="A47">
        <v>46</v>
      </c>
      <c r="B47" t="str">
        <f>'5 regiones'!A70</f>
        <v>C.</v>
      </c>
      <c r="C47" t="str">
        <f>'5 regiones'!B70</f>
        <v>ROSA GLORIA</v>
      </c>
      <c r="D47" t="str">
        <f>'5 regiones'!C70</f>
        <v>DE ARTEAGA</v>
      </c>
      <c r="E47">
        <f>'5 regiones'!D70</f>
        <v>0</v>
      </c>
      <c r="F47" t="str">
        <f>'5 regiones'!E70</f>
        <v>CANACO NUEVA ROSITA</v>
      </c>
      <c r="G47" t="str">
        <f>'5 regiones'!F70</f>
        <v>PRESIDENTE</v>
      </c>
      <c r="H47" t="str">
        <f>'5 regiones'!G70</f>
        <v>861 614 5384 
Asistente: 
C .861 132 3343</v>
      </c>
      <c r="I47" t="str">
        <f>'5 regiones'!H70</f>
        <v>canaco2017@hotmail.com</v>
      </c>
      <c r="J47" t="str">
        <f>'5 regiones'!I70</f>
        <v>NUEVA ROSITA</v>
      </c>
      <c r="K47" t="str">
        <f>'5 regiones'!J70</f>
        <v>Comerciantes</v>
      </c>
      <c r="L47" t="str">
        <f>'5 regiones'!K70</f>
        <v>https://forms.gle/jHH5VjT1WmWcRtWWA</v>
      </c>
    </row>
    <row r="48" spans="1:12" x14ac:dyDescent="0.25">
      <c r="A48">
        <v>47</v>
      </c>
      <c r="B48" t="str">
        <f>'5 regiones'!A77</f>
        <v>LIC.</v>
      </c>
      <c r="C48" t="str">
        <f>'5 regiones'!B77</f>
        <v>IRIS YANETH</v>
      </c>
      <c r="D48" t="str">
        <f>'5 regiones'!C77</f>
        <v>ARIAS</v>
      </c>
      <c r="E48" t="str">
        <f>'5 regiones'!D77</f>
        <v>MARTÍNEZ</v>
      </c>
      <c r="F48" t="str">
        <f>'5 regiones'!E77</f>
        <v xml:space="preserve">CANACINTRA DELEGACION ACUÑA </v>
      </c>
      <c r="G48" t="str">
        <f>'5 regiones'!F77</f>
        <v>GERENTE</v>
      </c>
      <c r="H48" t="str">
        <f>'5 regiones'!G77</f>
        <v>877 772 5559
877 772 0026</v>
      </c>
      <c r="I48" t="str">
        <f>'5 regiones'!H77</f>
        <v>direccion@canacintraacuna.com.mx; cdacuna@canacintra.org.mx</v>
      </c>
      <c r="J48" t="str">
        <f>'5 regiones'!I77</f>
        <v>CD. ACUÑA</v>
      </c>
      <c r="K48" t="str">
        <f>'5 regiones'!J77</f>
        <v>Empresas</v>
      </c>
      <c r="L48" t="str">
        <f>'5 regiones'!K77</f>
        <v>https://forms.gle/83kUtEx8hSA39tgy7</v>
      </c>
    </row>
    <row r="49" spans="1:12" x14ac:dyDescent="0.25">
      <c r="A49">
        <v>48</v>
      </c>
      <c r="B49" t="str">
        <f>'5 regiones'!A78</f>
        <v>ING.</v>
      </c>
      <c r="C49" t="str">
        <f>'5 regiones'!B78</f>
        <v>CARMEN</v>
      </c>
      <c r="D49" t="str">
        <f>'5 regiones'!C78</f>
        <v>CORNELIO</v>
      </c>
      <c r="E49" t="str">
        <f>'5 regiones'!D78</f>
        <v>VALLEJO</v>
      </c>
      <c r="F49" t="str">
        <f>'5 regiones'!E78</f>
        <v>CANACO SERVYTUR ACUÑA</v>
      </c>
      <c r="G49" t="str">
        <f>'5 regiones'!F78</f>
        <v>DIRECTORA</v>
      </c>
      <c r="H49" t="str">
        <f>'5 regiones'!G78</f>
        <v>877 772 5015
C. 877 1154 032</v>
      </c>
      <c r="I49" t="str">
        <f>'5 regiones'!H78</f>
        <v xml:space="preserve">direccion@canacoacuna.com.mx; </v>
      </c>
      <c r="J49" t="str">
        <f>'5 regiones'!I78</f>
        <v>CD. ACUÑA</v>
      </c>
      <c r="K49" t="str">
        <f>'5 regiones'!J78</f>
        <v>Comerciantes</v>
      </c>
      <c r="L49" t="str">
        <f>'5 regiones'!K78</f>
        <v>https://forms.gle/jHH5VjT1WmWcRtWWA</v>
      </c>
    </row>
    <row r="50" spans="1:12" x14ac:dyDescent="0.25">
      <c r="A50">
        <v>49</v>
      </c>
      <c r="B50" t="str">
        <f>'5 regiones'!A80</f>
        <v>LIC.</v>
      </c>
      <c r="C50" t="str">
        <f>'5 regiones'!B80</f>
        <v>MANUEL</v>
      </c>
      <c r="D50" t="str">
        <f>'5 regiones'!C80</f>
        <v>RAMÓN</v>
      </c>
      <c r="E50" t="str">
        <f>'5 regiones'!D80</f>
        <v>LOSOYA</v>
      </c>
      <c r="F50" t="str">
        <f>'5 regiones'!E80</f>
        <v>COMITÉ DE DESARROLLO ECONÓMICO</v>
      </c>
      <c r="G50" t="str">
        <f>'5 regiones'!F80</f>
        <v>PRESIDENTE</v>
      </c>
      <c r="H50" t="str">
        <f>'5 regiones'!G80</f>
        <v>877 786 3250</v>
      </c>
      <c r="I50" t="str">
        <f>'5 regiones'!H80</f>
        <v>mramon@chevyriogrande.com;</v>
      </c>
      <c r="J50" t="str">
        <f>'5 regiones'!I80</f>
        <v>CD. ACUÑA</v>
      </c>
      <c r="K50" t="str">
        <f>'5 regiones'!J80</f>
        <v>Empresas</v>
      </c>
      <c r="L50" t="str">
        <f>'5 regiones'!K80</f>
        <v>https://forms.gle/83kUtEx8hSA39tgy7</v>
      </c>
    </row>
    <row r="51" spans="1:12" x14ac:dyDescent="0.25">
      <c r="A51">
        <v>50</v>
      </c>
      <c r="B51" t="str">
        <f>'5 regiones'!A81</f>
        <v>LIC.</v>
      </c>
      <c r="C51" t="str">
        <f>'5 regiones'!B81</f>
        <v xml:space="preserve">GABRIELA </v>
      </c>
      <c r="D51" t="str">
        <f>'5 regiones'!C81</f>
        <v>TREVIÑO</v>
      </c>
      <c r="E51" t="str">
        <f>'5 regiones'!D81</f>
        <v>RODRÍGUEZ</v>
      </c>
      <c r="F51" t="str">
        <f>'5 regiones'!E81</f>
        <v>ASOCIACIÓN DE MAQUILADORAS DE ACUÑA, A.C. (INDEX)</v>
      </c>
      <c r="G51" t="str">
        <f>'5 regiones'!F81</f>
        <v>VICEPRESIDENTE DE LA ASOCIACIÓN</v>
      </c>
      <c r="H51" t="str">
        <f>'5 regiones'!G81</f>
        <v>877 772 5803</v>
      </c>
      <c r="I51" t="str">
        <f>'5 regiones'!H81</f>
        <v>direccion@indexacuna.org.mx; amadac386@prodigy.net.mx; cuauhtemochernandezcastilla@hotmail.com;</v>
      </c>
      <c r="J51" t="str">
        <f>'5 regiones'!I81</f>
        <v>CD. ACUÑA</v>
      </c>
      <c r="K51" t="str">
        <f>'5 regiones'!J81</f>
        <v>Empresas</v>
      </c>
      <c r="L51" t="str">
        <f>'5 regiones'!K81</f>
        <v>https://forms.gle/83kUtEx8hSA39tgy7</v>
      </c>
    </row>
    <row r="52" spans="1:12" x14ac:dyDescent="0.25">
      <c r="A52">
        <v>51</v>
      </c>
      <c r="B52" t="str">
        <f>'5 regiones'!A82</f>
        <v>LIC.</v>
      </c>
      <c r="C52" t="str">
        <f>'5 regiones'!B82</f>
        <v>CUAUHTEMOC</v>
      </c>
      <c r="D52" t="str">
        <f>'5 regiones'!C82</f>
        <v>HERNANDEZ</v>
      </c>
      <c r="E52" t="str">
        <f>'5 regiones'!D82</f>
        <v>CASTILLA</v>
      </c>
      <c r="F52" t="str">
        <f>'5 regiones'!E82</f>
        <v>ASOCIACIÓN DE MAQUILADORAS DE ACUÑA, A.C. (INDEX)</v>
      </c>
      <c r="G52" t="str">
        <f>'5 regiones'!F82</f>
        <v>DIRECTOR DE LA ASOCIACIÓN</v>
      </c>
      <c r="H52" t="str">
        <f>'5 regiones'!G82</f>
        <v>877 772 5803
877 793 6449</v>
      </c>
      <c r="I52" t="str">
        <f>'5 regiones'!H82</f>
        <v>direccion@indexacuna.org.mx; amadac386@prodigy.net.mx; cuauhtemochernandezcastilla@hotmail.com;</v>
      </c>
      <c r="J52" t="str">
        <f>'5 regiones'!I82</f>
        <v>CD. ACUÑA</v>
      </c>
      <c r="K52" t="str">
        <f>'5 regiones'!J82</f>
        <v>Empresas</v>
      </c>
      <c r="L52" t="str">
        <f>'5 regiones'!K82</f>
        <v>https://forms.gle/83kUtEx8hSA39tgy7</v>
      </c>
    </row>
    <row r="53" spans="1:12" x14ac:dyDescent="0.25">
      <c r="A53">
        <v>52</v>
      </c>
      <c r="B53" t="str">
        <f>'5 regiones'!A83</f>
        <v>ING.</v>
      </c>
      <c r="C53" t="str">
        <f>'5 regiones'!B83</f>
        <v>ANTONIO</v>
      </c>
      <c r="D53" t="str">
        <f>'5 regiones'!C83</f>
        <v xml:space="preserve">RODRIGUEZ </v>
      </c>
      <c r="E53" t="str">
        <f>'5 regiones'!D83</f>
        <v>GUAJARDO</v>
      </c>
      <c r="F53" t="str">
        <f>'5 regiones'!E83</f>
        <v xml:space="preserve">UNION DE ORGANISMOS EMPRESARIALES </v>
      </c>
      <c r="G53" t="str">
        <f>'5 regiones'!F83</f>
        <v>PRESIDENTE</v>
      </c>
      <c r="H53" t="str">
        <f>'5 regiones'!G83</f>
        <v>877 772 5816</v>
      </c>
      <c r="I53" t="str">
        <f>'5 regiones'!H83</f>
        <v>canacintra_acuna@prodigy.net.mx; roguantonio@hotmail.com; angela4958@hotmail.com;</v>
      </c>
      <c r="J53" t="str">
        <f>'5 regiones'!I83</f>
        <v>CD. ACUÑA</v>
      </c>
      <c r="K53" t="str">
        <f>'5 regiones'!J83</f>
        <v>Empresas</v>
      </c>
      <c r="L53" t="str">
        <f>'5 regiones'!K83</f>
        <v>https://forms.gle/83kUtEx8hSA39tgy7</v>
      </c>
    </row>
    <row r="54" spans="1:12" x14ac:dyDescent="0.25">
      <c r="A54">
        <v>53</v>
      </c>
      <c r="B54" t="str">
        <f>'5 regiones'!A84</f>
        <v>ING.</v>
      </c>
      <c r="C54" t="str">
        <f>'5 regiones'!B84</f>
        <v>KORAYMA SELENY</v>
      </c>
      <c r="D54" t="str">
        <f>'5 regiones'!C84</f>
        <v>GARCÍA</v>
      </c>
      <c r="E54" t="str">
        <f>'5 regiones'!D84</f>
        <v>GONZÁLEZ</v>
      </c>
      <c r="F54" t="str">
        <f>'5 regiones'!E84</f>
        <v>CANACO PIEDRAS NEGRAS</v>
      </c>
      <c r="G54" t="str">
        <f>'5 regiones'!F84</f>
        <v>GERENTE</v>
      </c>
      <c r="H54" t="str">
        <f>'5 regiones'!G84</f>
        <v>878 782 2041</v>
      </c>
      <c r="I54" t="str">
        <f>'5 regiones'!H84</f>
        <v>canacopn2013@hotmail.com;</v>
      </c>
      <c r="J54" t="str">
        <f>'5 regiones'!I84</f>
        <v>PIEDRAS NEGRAS</v>
      </c>
      <c r="K54" t="str">
        <f>'5 regiones'!J84</f>
        <v>Comerciantes</v>
      </c>
      <c r="L54" t="str">
        <f>'5 regiones'!K84</f>
        <v>https://forms.gle/jHH5VjT1WmWcRtWWA</v>
      </c>
    </row>
    <row r="55" spans="1:12" x14ac:dyDescent="0.25">
      <c r="A55">
        <v>54</v>
      </c>
      <c r="B55" t="str">
        <f>'5 regiones'!A85</f>
        <v>ING.</v>
      </c>
      <c r="C55" t="str">
        <f>'5 regiones'!B85</f>
        <v>MARIEL</v>
      </c>
      <c r="D55" t="str">
        <f>'5 regiones'!C85</f>
        <v>CAMARRILLO</v>
      </c>
      <c r="E55" t="str">
        <f>'5 regiones'!D85</f>
        <v>BORREGO</v>
      </c>
      <c r="F55" t="str">
        <f>'5 regiones'!E85</f>
        <v>CANACINTRA DELEGACIÓN PIEDRAS NEGRAS</v>
      </c>
      <c r="G55" t="str">
        <f>'5 regiones'!F85</f>
        <v>GERENTE GENERAL</v>
      </c>
      <c r="H55" t="str">
        <f>'5 regiones'!G85</f>
        <v>878 783 8100</v>
      </c>
      <c r="I55" t="str">
        <f>'5 regiones'!H85</f>
        <v>piedrasnegras@canacintra.org.mx</v>
      </c>
      <c r="J55" t="str">
        <f>'5 regiones'!I85</f>
        <v>PIEDRAS NEGRAS</v>
      </c>
      <c r="K55" t="str">
        <f>'5 regiones'!J85</f>
        <v>Empresas</v>
      </c>
      <c r="L55" t="str">
        <f>'5 regiones'!K85</f>
        <v>https://forms.gle/83kUtEx8hSA39tgy7</v>
      </c>
    </row>
    <row r="56" spans="1:12" x14ac:dyDescent="0.25">
      <c r="A56">
        <v>55</v>
      </c>
      <c r="B56" t="str">
        <f>'5 regiones'!A86</f>
        <v>ING.</v>
      </c>
      <c r="C56" t="str">
        <f>'5 regiones'!B86</f>
        <v xml:space="preserve">MORRIS </v>
      </c>
      <c r="D56" t="str">
        <f>'5 regiones'!C86</f>
        <v xml:space="preserve">LIBSON </v>
      </c>
      <c r="E56" t="str">
        <f>'5 regiones'!D86</f>
        <v>VALDES</v>
      </c>
      <c r="F56" t="str">
        <f>'5 regiones'!E86</f>
        <v>CONSEJO DE FOMENTO ECONOMICO DE PIEDRAS NEGRAS</v>
      </c>
      <c r="G56" t="str">
        <f>'5 regiones'!F86</f>
        <v>PRESIDENTE</v>
      </c>
      <c r="H56" t="str">
        <f>'5 regiones'!G86</f>
        <v>CONAGAS 
878 782 2364
878 782 2400</v>
      </c>
      <c r="I56" t="str">
        <f>'5 regiones'!H86</f>
        <v>conagas19@conagas.com;</v>
      </c>
      <c r="J56" t="str">
        <f>'5 regiones'!I86</f>
        <v>PIEDRAS NEGRAS</v>
      </c>
      <c r="K56" t="str">
        <f>'5 regiones'!J86</f>
        <v>Empresas</v>
      </c>
      <c r="L56" t="str">
        <f>'5 regiones'!K86</f>
        <v>https://forms.gle/83kUtEx8hSA39tgy7</v>
      </c>
    </row>
    <row r="57" spans="1:12" x14ac:dyDescent="0.25">
      <c r="A57">
        <v>56</v>
      </c>
      <c r="B57" t="str">
        <f>'5 regiones'!A87</f>
        <v>C.P.</v>
      </c>
      <c r="C57" t="str">
        <f>'5 regiones'!B87</f>
        <v xml:space="preserve">GUSTAVO </v>
      </c>
      <c r="D57" t="str">
        <f>'5 regiones'!C87</f>
        <v>GUTIÉRREZ</v>
      </c>
      <c r="E57" t="str">
        <f>'5 regiones'!D87</f>
        <v xml:space="preserve">GARCIA   </v>
      </c>
      <c r="F57" t="str">
        <f>'5 regiones'!E87</f>
        <v>INDEX PIEDRAS NEGRAS</v>
      </c>
      <c r="G57" t="str">
        <f>'5 regiones'!F87</f>
        <v xml:space="preserve">PRESIDENTE </v>
      </c>
      <c r="H57" t="str">
        <f>'5 regiones'!G87</f>
        <v>878 783 7723</v>
      </c>
      <c r="I57" t="str">
        <f>'5 regiones'!H87</f>
        <v xml:space="preserve">direccionpn@indexpiedrasnegras.org.mx; vinculacion@indexpiedrasnegras.org.mx </v>
      </c>
      <c r="J57" t="str">
        <f>'5 regiones'!I87</f>
        <v>PIEDRAS NEGRAS</v>
      </c>
      <c r="K57" t="str">
        <f>'5 regiones'!J87</f>
        <v>Empresas</v>
      </c>
      <c r="L57" t="str">
        <f>'5 regiones'!K87</f>
        <v>https://forms.gle/83kUtEx8hSA39tgy7</v>
      </c>
    </row>
    <row r="58" spans="1:12" x14ac:dyDescent="0.25">
      <c r="A58">
        <v>57</v>
      </c>
      <c r="B58" t="str">
        <f>'5 regiones'!A91</f>
        <v>C.P.</v>
      </c>
      <c r="C58" t="str">
        <f>'5 regiones'!B91</f>
        <v>JESÚS ERNESTO</v>
      </c>
      <c r="D58" t="str">
        <f>'5 regiones'!C91</f>
        <v>VELA</v>
      </c>
      <c r="E58" t="str">
        <f>'5 regiones'!D91</f>
        <v>REYNA</v>
      </c>
      <c r="F58" t="str">
        <f>'5 regiones'!E91</f>
        <v>ASOCIACIÓN DE AGENTES ADUANALES DE PIEDRAS NEGRAS, A.C.</v>
      </c>
      <c r="G58" t="str">
        <f>'5 regiones'!F91</f>
        <v>PRESIDENTE</v>
      </c>
      <c r="H58" t="str">
        <f>'5 regiones'!G91</f>
        <v>878 782 0082
Ext 112,110</v>
      </c>
      <c r="I58" t="str">
        <f>'5 regiones'!H91</f>
        <v>presidencia@aaapn.mx</v>
      </c>
      <c r="J58" t="str">
        <f>'5 regiones'!I91</f>
        <v>PIEDRAS NEGRAS</v>
      </c>
      <c r="K58" t="str">
        <f>'5 regiones'!J91</f>
        <v>Agentes Aduanales</v>
      </c>
      <c r="L58" t="str">
        <f>'5 regiones'!K91</f>
        <v>https://forms.gle/ML9Kq1n2aGfQywZ56</v>
      </c>
    </row>
    <row r="59" spans="1:12" x14ac:dyDescent="0.25">
      <c r="A59">
        <v>58</v>
      </c>
      <c r="B59" t="str">
        <f>'5 regiones'!A92</f>
        <v>C.P.</v>
      </c>
      <c r="C59" t="str">
        <f>'5 regiones'!B92</f>
        <v xml:space="preserve">JUAN  </v>
      </c>
      <c r="D59" t="str">
        <f>'5 regiones'!C92</f>
        <v>GONZÁLEZ</v>
      </c>
      <c r="E59" t="str">
        <f>'5 regiones'!D92</f>
        <v>RODRÍGUEZ</v>
      </c>
      <c r="F59" t="str">
        <f>'5 regiones'!E92</f>
        <v>ASOCIACIÓN DE AGENTES ADUANALES DE PIEDRAS NEGRAS, A.C.</v>
      </c>
      <c r="G59" t="str">
        <f>'5 regiones'!F92</f>
        <v>GERENTE</v>
      </c>
      <c r="H59" t="str">
        <f>'5 regiones'!G92</f>
        <v>878 782 0081
Ext 110</v>
      </c>
      <c r="I59" t="str">
        <f>'5 regiones'!H92</f>
        <v>juan.gonzalez@aaapn.mx</v>
      </c>
      <c r="J59" t="str">
        <f>'5 regiones'!I92</f>
        <v>PIEDRAS NEGRAS</v>
      </c>
      <c r="K59" t="str">
        <f>'5 regiones'!J92</f>
        <v>Agentes Aduanales</v>
      </c>
      <c r="L59" t="str">
        <f>'5 regiones'!K92</f>
        <v>https://forms.gle/ML9Kq1n2aGfQywZ56</v>
      </c>
    </row>
    <row r="60" spans="1:12" x14ac:dyDescent="0.25">
      <c r="A60">
        <v>59</v>
      </c>
      <c r="B60" t="str">
        <f>'5 regiones'!A93</f>
        <v>C.P.</v>
      </c>
      <c r="C60" t="str">
        <f>'5 regiones'!B93</f>
        <v>YOLANDA ESTHELA</v>
      </c>
      <c r="D60" t="str">
        <f>'5 regiones'!C93</f>
        <v>CALDERÓN</v>
      </c>
      <c r="E60" t="str">
        <f>'5 regiones'!D93</f>
        <v>AMEZCUA</v>
      </c>
      <c r="F60" t="str">
        <f>'5 regiones'!E93</f>
        <v>ASOCIACION DE AGENTES ADUANALES DE ACUÑA</v>
      </c>
      <c r="G60" t="str">
        <f>'5 regiones'!F93</f>
        <v>PRESIDENTE</v>
      </c>
      <c r="H60" t="str">
        <f>'5 regiones'!G93</f>
        <v>877 772 2181
Ext 103</v>
      </c>
      <c r="I60" t="str">
        <f>'5 regiones'!H93</f>
        <v xml:space="preserve">aaaa@aaaa.org.mx;  </v>
      </c>
      <c r="J60" t="str">
        <f>'5 regiones'!I93</f>
        <v>CD. ACUÑA</v>
      </c>
      <c r="K60" t="str">
        <f>'5 regiones'!J93</f>
        <v>Agentes Aduanales</v>
      </c>
      <c r="L60" t="str">
        <f>'5 regiones'!K93</f>
        <v>https://forms.gle/ML9Kq1n2aGfQywZ56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M93"/>
  <sheetViews>
    <sheetView topLeftCell="A76" zoomScale="110" zoomScaleNormal="110" workbookViewId="0">
      <selection activeCell="J57" sqref="J57"/>
    </sheetView>
  </sheetViews>
  <sheetFormatPr baseColWidth="10" defaultColWidth="14.42578125" defaultRowHeight="14.25" x14ac:dyDescent="0.25"/>
  <cols>
    <col min="1" max="1" width="12.42578125" style="38" bestFit="1" customWidth="1"/>
    <col min="2" max="2" width="23.85546875" style="38" bestFit="1" customWidth="1"/>
    <col min="3" max="3" width="24.28515625" style="38" bestFit="1" customWidth="1"/>
    <col min="4" max="4" width="15.28515625" style="38" bestFit="1" customWidth="1"/>
    <col min="5" max="5" width="50" style="38" bestFit="1" customWidth="1"/>
    <col min="6" max="6" width="18.85546875" style="38" bestFit="1" customWidth="1"/>
    <col min="7" max="7" width="26.42578125" style="38" bestFit="1" customWidth="1"/>
    <col min="8" max="8" width="46.5703125" style="38" bestFit="1" customWidth="1"/>
    <col min="9" max="9" width="17" style="38" bestFit="1" customWidth="1"/>
    <col min="10" max="10" width="21.7109375" style="39" customWidth="1"/>
    <col min="11" max="16384" width="14.42578125" style="38"/>
  </cols>
  <sheetData>
    <row r="1" spans="1:11" s="60" customFormat="1" ht="30" x14ac:dyDescent="0.25">
      <c r="A1" s="102" t="s">
        <v>0</v>
      </c>
      <c r="B1" s="102"/>
      <c r="C1" s="102"/>
      <c r="D1" s="102"/>
      <c r="E1" s="102"/>
      <c r="F1" s="102"/>
      <c r="G1" s="102"/>
      <c r="H1" s="102"/>
      <c r="I1" s="102"/>
      <c r="J1" s="61"/>
    </row>
    <row r="2" spans="1:11" ht="15" x14ac:dyDescent="0.25">
      <c r="A2" s="83"/>
      <c r="B2" s="67"/>
      <c r="C2" s="67"/>
      <c r="D2" s="67"/>
      <c r="E2" s="67"/>
      <c r="F2" s="67"/>
      <c r="G2" s="67"/>
      <c r="H2" s="67"/>
      <c r="I2" s="67"/>
    </row>
    <row r="3" spans="1:11" ht="30" x14ac:dyDescent="0.25">
      <c r="A3" s="66" t="s">
        <v>1</v>
      </c>
      <c r="B3" s="66" t="s">
        <v>2</v>
      </c>
      <c r="C3" s="66" t="s">
        <v>3</v>
      </c>
      <c r="D3" s="66" t="s">
        <v>4</v>
      </c>
      <c r="E3" s="66" t="s">
        <v>5</v>
      </c>
      <c r="F3" s="66" t="s">
        <v>6</v>
      </c>
      <c r="G3" s="66" t="s">
        <v>7</v>
      </c>
      <c r="H3" s="66" t="s">
        <v>8</v>
      </c>
      <c r="I3" s="66" t="s">
        <v>9</v>
      </c>
    </row>
    <row r="4" spans="1:11" ht="57" x14ac:dyDescent="0.25">
      <c r="A4" s="62" t="s">
        <v>10</v>
      </c>
      <c r="B4" s="64" t="s">
        <v>349</v>
      </c>
      <c r="C4" s="62" t="s">
        <v>12</v>
      </c>
      <c r="D4" s="62" t="s">
        <v>13</v>
      </c>
      <c r="E4" s="64" t="s">
        <v>14</v>
      </c>
      <c r="F4" s="64" t="s">
        <v>15</v>
      </c>
      <c r="G4" s="64" t="s">
        <v>411</v>
      </c>
      <c r="H4" s="63" t="s">
        <v>16</v>
      </c>
      <c r="I4" s="64" t="s">
        <v>11</v>
      </c>
      <c r="J4" s="39" t="s">
        <v>438</v>
      </c>
    </row>
    <row r="5" spans="1:11" ht="42.75" x14ac:dyDescent="0.25">
      <c r="A5" s="72" t="s">
        <v>22</v>
      </c>
      <c r="B5" s="70" t="s">
        <v>23</v>
      </c>
      <c r="C5" s="72" t="s">
        <v>24</v>
      </c>
      <c r="D5" s="72" t="s">
        <v>25</v>
      </c>
      <c r="E5" s="70" t="s">
        <v>17</v>
      </c>
      <c r="F5" s="70" t="s">
        <v>26</v>
      </c>
      <c r="G5" s="70" t="s">
        <v>412</v>
      </c>
      <c r="H5" s="63" t="s">
        <v>27</v>
      </c>
      <c r="I5" s="64" t="s">
        <v>21</v>
      </c>
      <c r="J5" s="39" t="s">
        <v>438</v>
      </c>
    </row>
    <row r="6" spans="1:11" ht="42.75" x14ac:dyDescent="0.25">
      <c r="A6" s="62" t="s">
        <v>18</v>
      </c>
      <c r="B6" s="64" t="s">
        <v>32</v>
      </c>
      <c r="C6" s="62" t="s">
        <v>33</v>
      </c>
      <c r="D6" s="62" t="s">
        <v>34</v>
      </c>
      <c r="E6" s="64" t="s">
        <v>30</v>
      </c>
      <c r="F6" s="64" t="s">
        <v>35</v>
      </c>
      <c r="G6" s="64" t="s">
        <v>413</v>
      </c>
      <c r="H6" s="63" t="s">
        <v>31</v>
      </c>
      <c r="I6" s="64" t="s">
        <v>21</v>
      </c>
      <c r="J6" s="40" t="s">
        <v>437</v>
      </c>
      <c r="K6" s="38" t="s">
        <v>441</v>
      </c>
    </row>
    <row r="7" spans="1:11" ht="42.75" x14ac:dyDescent="0.25">
      <c r="A7" s="62" t="s">
        <v>18</v>
      </c>
      <c r="B7" s="64" t="s">
        <v>39</v>
      </c>
      <c r="C7" s="62" t="s">
        <v>40</v>
      </c>
      <c r="D7" s="62" t="s">
        <v>41</v>
      </c>
      <c r="E7" s="64" t="s">
        <v>36</v>
      </c>
      <c r="F7" s="64" t="s">
        <v>42</v>
      </c>
      <c r="G7" s="64" t="s">
        <v>414</v>
      </c>
      <c r="H7" s="63" t="s">
        <v>38</v>
      </c>
      <c r="I7" s="64" t="s">
        <v>21</v>
      </c>
      <c r="J7" s="39" t="s">
        <v>438</v>
      </c>
    </row>
    <row r="8" spans="1:11" ht="71.25" x14ac:dyDescent="0.25">
      <c r="A8" s="62" t="s">
        <v>10</v>
      </c>
      <c r="B8" s="64" t="s">
        <v>45</v>
      </c>
      <c r="C8" s="62" t="s">
        <v>46</v>
      </c>
      <c r="D8" s="62" t="s">
        <v>47</v>
      </c>
      <c r="E8" s="64" t="s">
        <v>43</v>
      </c>
      <c r="F8" s="64" t="s">
        <v>48</v>
      </c>
      <c r="G8" s="64" t="s">
        <v>415</v>
      </c>
      <c r="H8" s="63" t="s">
        <v>49</v>
      </c>
      <c r="I8" s="64" t="s">
        <v>21</v>
      </c>
      <c r="J8" s="39" t="s">
        <v>482</v>
      </c>
    </row>
    <row r="9" spans="1:11" x14ac:dyDescent="0.25">
      <c r="A9" s="62" t="s">
        <v>10</v>
      </c>
      <c r="B9" s="64" t="s">
        <v>51</v>
      </c>
      <c r="C9" s="62" t="s">
        <v>34</v>
      </c>
      <c r="D9" s="62"/>
      <c r="E9" s="64" t="s">
        <v>50</v>
      </c>
      <c r="F9" s="64" t="s">
        <v>35</v>
      </c>
      <c r="G9" s="64" t="s">
        <v>416</v>
      </c>
      <c r="H9" s="63" t="s">
        <v>52</v>
      </c>
      <c r="I9" s="64" t="s">
        <v>21</v>
      </c>
      <c r="J9" s="40" t="s">
        <v>481</v>
      </c>
      <c r="K9" s="38" t="s">
        <v>480</v>
      </c>
    </row>
    <row r="10" spans="1:11" ht="71.25" x14ac:dyDescent="0.25">
      <c r="A10" s="70" t="s">
        <v>18</v>
      </c>
      <c r="B10" s="70" t="s">
        <v>55</v>
      </c>
      <c r="C10" s="70" t="s">
        <v>56</v>
      </c>
      <c r="D10" s="70" t="s">
        <v>57</v>
      </c>
      <c r="E10" s="64" t="s">
        <v>53</v>
      </c>
      <c r="F10" s="64" t="s">
        <v>42</v>
      </c>
      <c r="G10" s="64" t="s">
        <v>417</v>
      </c>
      <c r="H10" s="78" t="s">
        <v>58</v>
      </c>
      <c r="I10" s="64" t="s">
        <v>21</v>
      </c>
      <c r="J10" s="39" t="s">
        <v>438</v>
      </c>
    </row>
    <row r="11" spans="1:11" ht="28.5" x14ac:dyDescent="0.25">
      <c r="A11" s="70" t="s">
        <v>60</v>
      </c>
      <c r="B11" s="70" t="s">
        <v>61</v>
      </c>
      <c r="C11" s="70" t="s">
        <v>41</v>
      </c>
      <c r="D11" s="70" t="s">
        <v>62</v>
      </c>
      <c r="E11" s="64" t="s">
        <v>59</v>
      </c>
      <c r="F11" s="64" t="s">
        <v>63</v>
      </c>
      <c r="G11" s="64" t="s">
        <v>418</v>
      </c>
      <c r="H11" s="78" t="s">
        <v>64</v>
      </c>
      <c r="I11" s="64" t="s">
        <v>21</v>
      </c>
      <c r="J11" s="40" t="s">
        <v>479</v>
      </c>
    </row>
    <row r="12" spans="1:11" ht="28.5" x14ac:dyDescent="0.25">
      <c r="A12" s="70" t="s">
        <v>60</v>
      </c>
      <c r="B12" s="70" t="s">
        <v>65</v>
      </c>
      <c r="C12" s="70" t="s">
        <v>41</v>
      </c>
      <c r="D12" s="70" t="s">
        <v>66</v>
      </c>
      <c r="E12" s="64" t="s">
        <v>59</v>
      </c>
      <c r="F12" s="64" t="s">
        <v>35</v>
      </c>
      <c r="G12" s="64" t="s">
        <v>418</v>
      </c>
      <c r="H12" s="78" t="s">
        <v>67</v>
      </c>
      <c r="I12" s="64" t="s">
        <v>21</v>
      </c>
      <c r="J12" s="40" t="s">
        <v>479</v>
      </c>
    </row>
    <row r="13" spans="1:11" ht="28.5" x14ac:dyDescent="0.25">
      <c r="A13" s="70" t="s">
        <v>68</v>
      </c>
      <c r="B13" s="70" t="s">
        <v>69</v>
      </c>
      <c r="C13" s="70" t="s">
        <v>34</v>
      </c>
      <c r="D13" s="70" t="s">
        <v>70</v>
      </c>
      <c r="E13" s="64" t="s">
        <v>348</v>
      </c>
      <c r="F13" s="64" t="s">
        <v>44</v>
      </c>
      <c r="G13" s="64" t="s">
        <v>71</v>
      </c>
      <c r="H13" s="63" t="s">
        <v>72</v>
      </c>
      <c r="I13" s="64" t="s">
        <v>21</v>
      </c>
      <c r="J13" s="40" t="s">
        <v>478</v>
      </c>
      <c r="K13" s="82" t="s">
        <v>441</v>
      </c>
    </row>
    <row r="14" spans="1:11" ht="71.25" x14ac:dyDescent="0.25">
      <c r="A14" s="64" t="s">
        <v>18</v>
      </c>
      <c r="B14" s="64" t="s">
        <v>74</v>
      </c>
      <c r="C14" s="64" t="s">
        <v>75</v>
      </c>
      <c r="D14" s="64" t="s">
        <v>76</v>
      </c>
      <c r="E14" s="64" t="s">
        <v>73</v>
      </c>
      <c r="F14" s="64" t="s">
        <v>44</v>
      </c>
      <c r="G14" s="64" t="s">
        <v>419</v>
      </c>
      <c r="H14" s="63" t="s">
        <v>77</v>
      </c>
      <c r="I14" s="64" t="s">
        <v>78</v>
      </c>
      <c r="J14" s="39" t="s">
        <v>438</v>
      </c>
    </row>
    <row r="15" spans="1:11" ht="28.5" x14ac:dyDescent="0.25">
      <c r="A15" s="70" t="s">
        <v>80</v>
      </c>
      <c r="B15" s="70" t="s">
        <v>81</v>
      </c>
      <c r="C15" s="70" t="s">
        <v>82</v>
      </c>
      <c r="D15" s="70" t="s">
        <v>83</v>
      </c>
      <c r="E15" s="64" t="s">
        <v>79</v>
      </c>
      <c r="F15" s="64" t="s">
        <v>44</v>
      </c>
      <c r="G15" s="64" t="s">
        <v>420</v>
      </c>
      <c r="H15" s="63" t="s">
        <v>84</v>
      </c>
      <c r="I15" s="64" t="s">
        <v>21</v>
      </c>
      <c r="J15" s="39" t="s">
        <v>438</v>
      </c>
    </row>
    <row r="16" spans="1:11" ht="42.75" x14ac:dyDescent="0.25">
      <c r="A16" s="70" t="s">
        <v>54</v>
      </c>
      <c r="B16" s="70" t="s">
        <v>86</v>
      </c>
      <c r="C16" s="70" t="s">
        <v>87</v>
      </c>
      <c r="D16" s="70" t="s">
        <v>88</v>
      </c>
      <c r="E16" s="64" t="s">
        <v>353</v>
      </c>
      <c r="F16" s="64" t="s">
        <v>42</v>
      </c>
      <c r="G16" s="64" t="s">
        <v>421</v>
      </c>
      <c r="H16" s="63" t="s">
        <v>85</v>
      </c>
      <c r="I16" s="64" t="s">
        <v>21</v>
      </c>
      <c r="J16" s="39" t="s">
        <v>477</v>
      </c>
    </row>
    <row r="17" spans="1:10" ht="42.75" x14ac:dyDescent="0.25">
      <c r="A17" s="64" t="s">
        <v>10</v>
      </c>
      <c r="B17" s="64" t="s">
        <v>90</v>
      </c>
      <c r="C17" s="64" t="s">
        <v>70</v>
      </c>
      <c r="D17" s="64" t="s">
        <v>91</v>
      </c>
      <c r="E17" s="64" t="s">
        <v>89</v>
      </c>
      <c r="F17" s="64" t="s">
        <v>35</v>
      </c>
      <c r="G17" s="64" t="s">
        <v>422</v>
      </c>
      <c r="H17" s="63" t="s">
        <v>92</v>
      </c>
      <c r="I17" s="64" t="s">
        <v>21</v>
      </c>
      <c r="J17" s="50" t="s">
        <v>476</v>
      </c>
    </row>
    <row r="18" spans="1:10" ht="42.75" x14ac:dyDescent="0.25">
      <c r="A18" s="64" t="s">
        <v>18</v>
      </c>
      <c r="B18" s="64" t="s">
        <v>95</v>
      </c>
      <c r="C18" s="64" t="s">
        <v>96</v>
      </c>
      <c r="D18" s="64" t="s">
        <v>29</v>
      </c>
      <c r="E18" s="64" t="s">
        <v>93</v>
      </c>
      <c r="F18" s="64" t="s">
        <v>35</v>
      </c>
      <c r="G18" s="64" t="s">
        <v>423</v>
      </c>
      <c r="H18" s="63" t="s">
        <v>94</v>
      </c>
      <c r="I18" s="64" t="s">
        <v>21</v>
      </c>
      <c r="J18" s="40" t="s">
        <v>475</v>
      </c>
    </row>
    <row r="19" spans="1:10" ht="57" x14ac:dyDescent="0.25">
      <c r="A19" s="64" t="s">
        <v>18</v>
      </c>
      <c r="B19" s="64" t="s">
        <v>98</v>
      </c>
      <c r="C19" s="64" t="s">
        <v>99</v>
      </c>
      <c r="D19" s="64" t="s">
        <v>100</v>
      </c>
      <c r="E19" s="64" t="s">
        <v>97</v>
      </c>
      <c r="F19" s="64" t="s">
        <v>101</v>
      </c>
      <c r="G19" s="64" t="s">
        <v>424</v>
      </c>
      <c r="H19" s="63" t="s">
        <v>102</v>
      </c>
      <c r="I19" s="64" t="s">
        <v>21</v>
      </c>
      <c r="J19" s="40" t="s">
        <v>474</v>
      </c>
    </row>
    <row r="22" spans="1:10" s="60" customFormat="1" ht="30" x14ac:dyDescent="0.25">
      <c r="A22" s="102" t="s">
        <v>103</v>
      </c>
      <c r="B22" s="102"/>
      <c r="C22" s="102"/>
      <c r="D22" s="102"/>
      <c r="E22" s="102"/>
      <c r="F22" s="102"/>
      <c r="G22" s="102"/>
      <c r="H22" s="102"/>
      <c r="I22" s="102"/>
      <c r="J22" s="61"/>
    </row>
    <row r="23" spans="1:10" ht="15" x14ac:dyDescent="0.25">
      <c r="A23" s="81"/>
      <c r="B23" s="67"/>
      <c r="C23" s="67"/>
      <c r="D23" s="67"/>
      <c r="E23" s="67"/>
      <c r="F23" s="67"/>
      <c r="G23" s="67"/>
      <c r="H23" s="67"/>
      <c r="I23" s="67"/>
    </row>
    <row r="24" spans="1:10" ht="30" x14ac:dyDescent="0.25">
      <c r="A24" s="80" t="s">
        <v>1</v>
      </c>
      <c r="B24" s="80" t="s">
        <v>2</v>
      </c>
      <c r="C24" s="80" t="s">
        <v>3</v>
      </c>
      <c r="D24" s="80" t="s">
        <v>4</v>
      </c>
      <c r="E24" s="80" t="s">
        <v>5</v>
      </c>
      <c r="F24" s="80" t="s">
        <v>6</v>
      </c>
      <c r="G24" s="66" t="s">
        <v>7</v>
      </c>
      <c r="H24" s="80" t="s">
        <v>8</v>
      </c>
      <c r="I24" s="80" t="s">
        <v>9</v>
      </c>
    </row>
    <row r="25" spans="1:10" ht="42.75" x14ac:dyDescent="0.25">
      <c r="A25" s="72" t="s">
        <v>10</v>
      </c>
      <c r="B25" s="70" t="s">
        <v>107</v>
      </c>
      <c r="C25" s="72" t="s">
        <v>108</v>
      </c>
      <c r="D25" s="72" t="s">
        <v>109</v>
      </c>
      <c r="E25" s="64" t="s">
        <v>105</v>
      </c>
      <c r="F25" s="64" t="s">
        <v>110</v>
      </c>
      <c r="G25" s="64" t="s">
        <v>393</v>
      </c>
      <c r="H25" s="63" t="s">
        <v>111</v>
      </c>
      <c r="I25" s="64" t="s">
        <v>106</v>
      </c>
      <c r="J25" s="39" t="s">
        <v>473</v>
      </c>
    </row>
    <row r="26" spans="1:10" ht="28.5" x14ac:dyDescent="0.25">
      <c r="A26" s="70" t="s">
        <v>54</v>
      </c>
      <c r="B26" s="70" t="s">
        <v>112</v>
      </c>
      <c r="C26" s="70" t="s">
        <v>113</v>
      </c>
      <c r="D26" s="70" t="s">
        <v>109</v>
      </c>
      <c r="E26" s="64" t="s">
        <v>114</v>
      </c>
      <c r="F26" s="64" t="s">
        <v>44</v>
      </c>
      <c r="G26" s="64" t="s">
        <v>394</v>
      </c>
      <c r="H26" s="63" t="s">
        <v>115</v>
      </c>
      <c r="I26" s="64" t="s">
        <v>106</v>
      </c>
      <c r="J26" s="39" t="s">
        <v>438</v>
      </c>
    </row>
    <row r="27" spans="1:10" ht="28.5" x14ac:dyDescent="0.25">
      <c r="A27" s="70" t="s">
        <v>10</v>
      </c>
      <c r="B27" s="70" t="s">
        <v>117</v>
      </c>
      <c r="C27" s="70" t="s">
        <v>118</v>
      </c>
      <c r="D27" s="70" t="s">
        <v>119</v>
      </c>
      <c r="E27" s="64" t="s">
        <v>116</v>
      </c>
      <c r="F27" s="64" t="s">
        <v>120</v>
      </c>
      <c r="G27" s="64" t="s">
        <v>395</v>
      </c>
      <c r="H27" s="63" t="s">
        <v>121</v>
      </c>
      <c r="I27" s="64" t="s">
        <v>106</v>
      </c>
      <c r="J27" s="39" t="s">
        <v>438</v>
      </c>
    </row>
    <row r="28" spans="1:10" ht="28.5" x14ac:dyDescent="0.25">
      <c r="A28" s="70" t="s">
        <v>68</v>
      </c>
      <c r="B28" s="70" t="s">
        <v>122</v>
      </c>
      <c r="C28" s="70" t="s">
        <v>123</v>
      </c>
      <c r="D28" s="70" t="s">
        <v>124</v>
      </c>
      <c r="E28" s="64" t="s">
        <v>116</v>
      </c>
      <c r="F28" s="64" t="s">
        <v>35</v>
      </c>
      <c r="G28" s="64" t="s">
        <v>395</v>
      </c>
      <c r="H28" s="63" t="s">
        <v>121</v>
      </c>
      <c r="I28" s="64" t="s">
        <v>106</v>
      </c>
      <c r="J28" s="39" t="s">
        <v>438</v>
      </c>
    </row>
    <row r="29" spans="1:10" ht="57" x14ac:dyDescent="0.25">
      <c r="A29" s="70" t="s">
        <v>10</v>
      </c>
      <c r="B29" s="70" t="s">
        <v>127</v>
      </c>
      <c r="C29" s="70" t="s">
        <v>128</v>
      </c>
      <c r="D29" s="70" t="s">
        <v>129</v>
      </c>
      <c r="E29" s="64" t="s">
        <v>126</v>
      </c>
      <c r="F29" s="64" t="s">
        <v>15</v>
      </c>
      <c r="G29" s="64" t="s">
        <v>396</v>
      </c>
      <c r="H29" s="79" t="s">
        <v>472</v>
      </c>
      <c r="I29" s="64" t="s">
        <v>106</v>
      </c>
      <c r="J29" s="39" t="s">
        <v>438</v>
      </c>
    </row>
    <row r="30" spans="1:10" ht="28.5" x14ac:dyDescent="0.25">
      <c r="A30" s="70" t="s">
        <v>132</v>
      </c>
      <c r="B30" s="70" t="s">
        <v>133</v>
      </c>
      <c r="C30" s="70" t="s">
        <v>134</v>
      </c>
      <c r="D30" s="70" t="s">
        <v>125</v>
      </c>
      <c r="E30" s="64" t="s">
        <v>131</v>
      </c>
      <c r="F30" s="64" t="s">
        <v>142</v>
      </c>
      <c r="G30" s="64" t="s">
        <v>397</v>
      </c>
      <c r="H30" s="63" t="s">
        <v>135</v>
      </c>
      <c r="I30" s="64" t="s">
        <v>106</v>
      </c>
      <c r="J30" s="39" t="s">
        <v>438</v>
      </c>
    </row>
    <row r="31" spans="1:10" ht="42.75" x14ac:dyDescent="0.25">
      <c r="A31" s="70" t="s">
        <v>10</v>
      </c>
      <c r="B31" s="70" t="s">
        <v>139</v>
      </c>
      <c r="C31" s="70" t="s">
        <v>140</v>
      </c>
      <c r="D31" s="70" t="s">
        <v>141</v>
      </c>
      <c r="E31" s="64" t="s">
        <v>136</v>
      </c>
      <c r="F31" s="64" t="s">
        <v>42</v>
      </c>
      <c r="G31" s="64" t="s">
        <v>398</v>
      </c>
      <c r="H31" s="63" t="s">
        <v>471</v>
      </c>
      <c r="I31" s="64" t="s">
        <v>106</v>
      </c>
      <c r="J31" s="39" t="s">
        <v>470</v>
      </c>
    </row>
    <row r="32" spans="1:10" ht="28.5" x14ac:dyDescent="0.25">
      <c r="A32" s="70" t="s">
        <v>60</v>
      </c>
      <c r="B32" s="70" t="s">
        <v>144</v>
      </c>
      <c r="C32" s="70" t="s">
        <v>145</v>
      </c>
      <c r="D32" s="70" t="s">
        <v>146</v>
      </c>
      <c r="E32" s="64" t="s">
        <v>143</v>
      </c>
      <c r="F32" s="71" t="s">
        <v>44</v>
      </c>
      <c r="G32" s="64" t="s">
        <v>399</v>
      </c>
      <c r="H32" s="63" t="s">
        <v>147</v>
      </c>
      <c r="I32" s="64" t="s">
        <v>106</v>
      </c>
      <c r="J32" s="39" t="s">
        <v>438</v>
      </c>
    </row>
    <row r="33" spans="1:11" ht="28.5" x14ac:dyDescent="0.25">
      <c r="A33" s="70" t="s">
        <v>132</v>
      </c>
      <c r="B33" s="70" t="s">
        <v>149</v>
      </c>
      <c r="C33" s="70" t="s">
        <v>150</v>
      </c>
      <c r="D33" s="70" t="s">
        <v>151</v>
      </c>
      <c r="E33" s="64" t="s">
        <v>148</v>
      </c>
      <c r="F33" s="71" t="s">
        <v>44</v>
      </c>
      <c r="G33" s="64" t="s">
        <v>400</v>
      </c>
      <c r="H33" s="63" t="s">
        <v>152</v>
      </c>
      <c r="I33" s="64" t="s">
        <v>153</v>
      </c>
      <c r="J33" s="40" t="s">
        <v>469</v>
      </c>
    </row>
    <row r="34" spans="1:11" ht="57" x14ac:dyDescent="0.25">
      <c r="A34" s="70" t="s">
        <v>54</v>
      </c>
      <c r="B34" s="70" t="s">
        <v>154</v>
      </c>
      <c r="C34" s="70" t="s">
        <v>155</v>
      </c>
      <c r="D34" s="70" t="s">
        <v>156</v>
      </c>
      <c r="E34" s="64" t="s">
        <v>157</v>
      </c>
      <c r="F34" s="70" t="s">
        <v>158</v>
      </c>
      <c r="G34" s="64" t="s">
        <v>400</v>
      </c>
      <c r="H34" s="63" t="s">
        <v>152</v>
      </c>
      <c r="I34" s="64" t="s">
        <v>153</v>
      </c>
      <c r="J34" s="40" t="s">
        <v>469</v>
      </c>
    </row>
    <row r="35" spans="1:11" ht="28.5" x14ac:dyDescent="0.25">
      <c r="A35" s="70" t="s">
        <v>18</v>
      </c>
      <c r="B35" s="70" t="s">
        <v>160</v>
      </c>
      <c r="C35" s="70" t="s">
        <v>161</v>
      </c>
      <c r="D35" s="70" t="s">
        <v>162</v>
      </c>
      <c r="E35" s="64" t="s">
        <v>159</v>
      </c>
      <c r="F35" s="64" t="s">
        <v>44</v>
      </c>
      <c r="G35" s="64" t="s">
        <v>401</v>
      </c>
      <c r="H35" s="78" t="s">
        <v>163</v>
      </c>
      <c r="I35" s="64" t="s">
        <v>106</v>
      </c>
      <c r="J35" s="40" t="s">
        <v>437</v>
      </c>
    </row>
    <row r="36" spans="1:11" ht="28.5" x14ac:dyDescent="0.25">
      <c r="A36" s="70" t="s">
        <v>18</v>
      </c>
      <c r="B36" s="70" t="s">
        <v>165</v>
      </c>
      <c r="C36" s="70" t="s">
        <v>166</v>
      </c>
      <c r="D36" s="70" t="s">
        <v>167</v>
      </c>
      <c r="E36" s="72" t="s">
        <v>164</v>
      </c>
      <c r="F36" s="72" t="s">
        <v>142</v>
      </c>
      <c r="G36" s="62" t="s">
        <v>402</v>
      </c>
      <c r="H36" s="63" t="s">
        <v>169</v>
      </c>
      <c r="I36" s="64" t="s">
        <v>106</v>
      </c>
      <c r="J36" s="40" t="s">
        <v>468</v>
      </c>
    </row>
    <row r="37" spans="1:11" ht="28.5" x14ac:dyDescent="0.25">
      <c r="A37" s="76" t="s">
        <v>10</v>
      </c>
      <c r="B37" s="77" t="s">
        <v>28</v>
      </c>
      <c r="C37" s="76" t="s">
        <v>171</v>
      </c>
      <c r="D37" s="76" t="s">
        <v>172</v>
      </c>
      <c r="E37" s="64" t="s">
        <v>170</v>
      </c>
      <c r="F37" s="64" t="s">
        <v>42</v>
      </c>
      <c r="G37" s="64" t="s">
        <v>403</v>
      </c>
      <c r="H37" s="63" t="s">
        <v>173</v>
      </c>
      <c r="I37" s="64" t="s">
        <v>106</v>
      </c>
      <c r="J37" s="75" t="s">
        <v>467</v>
      </c>
      <c r="K37" s="39" t="s">
        <v>438</v>
      </c>
    </row>
    <row r="38" spans="1:11" ht="42.75" x14ac:dyDescent="0.25">
      <c r="A38" s="72" t="s">
        <v>10</v>
      </c>
      <c r="B38" s="70" t="s">
        <v>175</v>
      </c>
      <c r="C38" s="72" t="s">
        <v>176</v>
      </c>
      <c r="D38" s="72" t="s">
        <v>177</v>
      </c>
      <c r="E38" s="64" t="s">
        <v>174</v>
      </c>
      <c r="F38" s="71" t="s">
        <v>44</v>
      </c>
      <c r="G38" s="64" t="s">
        <v>425</v>
      </c>
      <c r="H38" s="63" t="s">
        <v>178</v>
      </c>
      <c r="I38" s="64" t="s">
        <v>106</v>
      </c>
      <c r="J38" s="40" t="s">
        <v>466</v>
      </c>
    </row>
    <row r="39" spans="1:11" x14ac:dyDescent="0.25">
      <c r="A39" s="72" t="s">
        <v>10</v>
      </c>
      <c r="B39" s="72" t="s">
        <v>180</v>
      </c>
      <c r="C39" s="72" t="s">
        <v>181</v>
      </c>
      <c r="D39" s="72" t="s">
        <v>182</v>
      </c>
      <c r="E39" s="64" t="s">
        <v>179</v>
      </c>
      <c r="F39" s="72" t="s">
        <v>44</v>
      </c>
      <c r="G39" s="64" t="s">
        <v>404</v>
      </c>
      <c r="H39" s="63" t="s">
        <v>183</v>
      </c>
      <c r="I39" s="64" t="s">
        <v>392</v>
      </c>
      <c r="J39" s="40" t="s">
        <v>465</v>
      </c>
    </row>
    <row r="40" spans="1:11" ht="42.75" x14ac:dyDescent="0.25">
      <c r="A40" s="62" t="s">
        <v>10</v>
      </c>
      <c r="B40" s="62" t="s">
        <v>184</v>
      </c>
      <c r="C40" s="62" t="s">
        <v>185</v>
      </c>
      <c r="D40" s="62" t="s">
        <v>100</v>
      </c>
      <c r="E40" s="64" t="s">
        <v>352</v>
      </c>
      <c r="F40" s="64" t="s">
        <v>15</v>
      </c>
      <c r="G40" s="64" t="s">
        <v>405</v>
      </c>
      <c r="H40" s="73" t="s">
        <v>186</v>
      </c>
      <c r="I40" s="64" t="s">
        <v>106</v>
      </c>
      <c r="J40" s="39" t="s">
        <v>438</v>
      </c>
    </row>
    <row r="41" spans="1:11" ht="28.5" x14ac:dyDescent="0.25">
      <c r="A41" s="74" t="s">
        <v>54</v>
      </c>
      <c r="B41" s="74" t="s">
        <v>28</v>
      </c>
      <c r="C41" s="74" t="s">
        <v>20</v>
      </c>
      <c r="D41" s="74" t="s">
        <v>188</v>
      </c>
      <c r="E41" s="62" t="s">
        <v>187</v>
      </c>
      <c r="F41" s="62" t="s">
        <v>44</v>
      </c>
      <c r="G41" s="64" t="s">
        <v>406</v>
      </c>
      <c r="H41" s="73" t="s">
        <v>189</v>
      </c>
      <c r="I41" s="64" t="s">
        <v>106</v>
      </c>
      <c r="J41" s="53" t="s">
        <v>464</v>
      </c>
      <c r="K41" s="39" t="s">
        <v>438</v>
      </c>
    </row>
    <row r="42" spans="1:11" ht="42.75" x14ac:dyDescent="0.25">
      <c r="A42" s="72" t="s">
        <v>54</v>
      </c>
      <c r="B42" s="70" t="s">
        <v>191</v>
      </c>
      <c r="C42" s="72" t="s">
        <v>192</v>
      </c>
      <c r="D42" s="72" t="s">
        <v>137</v>
      </c>
      <c r="E42" s="64" t="s">
        <v>190</v>
      </c>
      <c r="F42" s="71" t="s">
        <v>142</v>
      </c>
      <c r="G42" s="64" t="s">
        <v>407</v>
      </c>
      <c r="H42" s="63" t="s">
        <v>193</v>
      </c>
      <c r="I42" s="64" t="s">
        <v>106</v>
      </c>
      <c r="J42" s="40" t="s">
        <v>463</v>
      </c>
    </row>
    <row r="43" spans="1:11" ht="28.5" x14ac:dyDescent="0.25">
      <c r="A43" s="70" t="s">
        <v>195</v>
      </c>
      <c r="B43" s="70" t="s">
        <v>196</v>
      </c>
      <c r="C43" s="70" t="s">
        <v>197</v>
      </c>
      <c r="D43" s="70" t="s">
        <v>198</v>
      </c>
      <c r="E43" s="64" t="s">
        <v>194</v>
      </c>
      <c r="F43" s="64" t="s">
        <v>44</v>
      </c>
      <c r="G43" s="64" t="s">
        <v>408</v>
      </c>
      <c r="H43" s="63" t="s">
        <v>199</v>
      </c>
      <c r="I43" s="64" t="s">
        <v>200</v>
      </c>
      <c r="J43" s="39" t="s">
        <v>438</v>
      </c>
    </row>
    <row r="44" spans="1:11" ht="57" x14ac:dyDescent="0.25">
      <c r="A44" s="62" t="s">
        <v>195</v>
      </c>
      <c r="B44" s="64" t="s">
        <v>202</v>
      </c>
      <c r="C44" s="62" t="s">
        <v>104</v>
      </c>
      <c r="D44" s="62" t="s">
        <v>203</v>
      </c>
      <c r="E44" s="64" t="s">
        <v>201</v>
      </c>
      <c r="F44" s="62" t="s">
        <v>44</v>
      </c>
      <c r="G44" s="64" t="s">
        <v>409</v>
      </c>
      <c r="H44" s="69" t="s">
        <v>204</v>
      </c>
      <c r="I44" s="64" t="s">
        <v>106</v>
      </c>
      <c r="J44" s="53" t="s">
        <v>462</v>
      </c>
    </row>
    <row r="46" spans="1:11" ht="15" x14ac:dyDescent="0.25">
      <c r="J46" s="52"/>
    </row>
    <row r="47" spans="1:11" s="60" customFormat="1" ht="30" x14ac:dyDescent="0.25">
      <c r="A47" s="102" t="s">
        <v>205</v>
      </c>
      <c r="B47" s="102"/>
      <c r="C47" s="102"/>
      <c r="D47" s="102"/>
      <c r="E47" s="102"/>
      <c r="F47" s="102"/>
      <c r="G47" s="102"/>
      <c r="H47" s="102"/>
      <c r="I47" s="102"/>
      <c r="J47" s="61"/>
    </row>
    <row r="48" spans="1:11" x14ac:dyDescent="0.25">
      <c r="A48" s="48"/>
      <c r="B48" s="48"/>
      <c r="C48" s="48"/>
      <c r="D48" s="48"/>
      <c r="E48" s="48"/>
      <c r="F48" s="48"/>
      <c r="G48" s="48"/>
      <c r="H48" s="48"/>
      <c r="I48" s="48"/>
    </row>
    <row r="49" spans="1:10" ht="30" x14ac:dyDescent="0.25">
      <c r="A49" s="58" t="s">
        <v>1</v>
      </c>
      <c r="B49" s="58" t="s">
        <v>2</v>
      </c>
      <c r="C49" s="58" t="s">
        <v>3</v>
      </c>
      <c r="D49" s="58" t="s">
        <v>4</v>
      </c>
      <c r="E49" s="58" t="s">
        <v>5</v>
      </c>
      <c r="F49" s="58" t="s">
        <v>6</v>
      </c>
      <c r="G49" s="58" t="s">
        <v>7</v>
      </c>
      <c r="H49" s="58" t="s">
        <v>8</v>
      </c>
      <c r="I49" s="58" t="s">
        <v>9</v>
      </c>
    </row>
    <row r="50" spans="1:10" ht="42.75" x14ac:dyDescent="0.25">
      <c r="A50" s="51" t="s">
        <v>10</v>
      </c>
      <c r="B50" s="41" t="s">
        <v>208</v>
      </c>
      <c r="C50" s="51" t="s">
        <v>209</v>
      </c>
      <c r="D50" s="51" t="s">
        <v>210</v>
      </c>
      <c r="E50" s="41" t="s">
        <v>206</v>
      </c>
      <c r="F50" s="41" t="s">
        <v>211</v>
      </c>
      <c r="G50" s="41" t="s">
        <v>382</v>
      </c>
      <c r="H50" s="56" t="s">
        <v>212</v>
      </c>
      <c r="I50" s="41" t="s">
        <v>207</v>
      </c>
      <c r="J50" s="39" t="s">
        <v>461</v>
      </c>
    </row>
    <row r="51" spans="1:10" ht="28.5" x14ac:dyDescent="0.25">
      <c r="A51" s="51" t="s">
        <v>10</v>
      </c>
      <c r="B51" s="41" t="s">
        <v>214</v>
      </c>
      <c r="C51" s="51" t="s">
        <v>188</v>
      </c>
      <c r="D51" s="51" t="s">
        <v>215</v>
      </c>
      <c r="E51" s="41" t="s">
        <v>213</v>
      </c>
      <c r="F51" s="41" t="s">
        <v>216</v>
      </c>
      <c r="G51" s="41" t="s">
        <v>383</v>
      </c>
      <c r="H51" s="42" t="s">
        <v>217</v>
      </c>
      <c r="I51" s="41" t="s">
        <v>207</v>
      </c>
      <c r="J51" s="39" t="s">
        <v>438</v>
      </c>
    </row>
    <row r="52" spans="1:10" ht="42.75" x14ac:dyDescent="0.25">
      <c r="A52" s="51" t="s">
        <v>18</v>
      </c>
      <c r="B52" s="41" t="s">
        <v>219</v>
      </c>
      <c r="C52" s="51" t="s">
        <v>220</v>
      </c>
      <c r="D52" s="51" t="s">
        <v>221</v>
      </c>
      <c r="E52" s="41" t="s">
        <v>222</v>
      </c>
      <c r="F52" s="41" t="s">
        <v>42</v>
      </c>
      <c r="G52" s="41" t="s">
        <v>384</v>
      </c>
      <c r="H52" s="56" t="s">
        <v>218</v>
      </c>
      <c r="I52" s="41" t="s">
        <v>207</v>
      </c>
      <c r="J52" s="39" t="s">
        <v>460</v>
      </c>
    </row>
    <row r="53" spans="1:10" ht="28.5" x14ac:dyDescent="0.25">
      <c r="A53" s="51" t="s">
        <v>10</v>
      </c>
      <c r="B53" s="41" t="s">
        <v>224</v>
      </c>
      <c r="C53" s="51" t="s">
        <v>225</v>
      </c>
      <c r="D53" s="51" t="s">
        <v>226</v>
      </c>
      <c r="E53" s="41" t="s">
        <v>223</v>
      </c>
      <c r="F53" s="41" t="s">
        <v>44</v>
      </c>
      <c r="G53" s="51" t="s">
        <v>385</v>
      </c>
      <c r="H53" s="42" t="s">
        <v>227</v>
      </c>
      <c r="I53" s="41" t="s">
        <v>207</v>
      </c>
      <c r="J53" s="40" t="s">
        <v>437</v>
      </c>
    </row>
    <row r="54" spans="1:10" ht="28.5" x14ac:dyDescent="0.25">
      <c r="A54" s="41" t="s">
        <v>10</v>
      </c>
      <c r="B54" s="41" t="s">
        <v>37</v>
      </c>
      <c r="C54" s="41" t="s">
        <v>229</v>
      </c>
      <c r="D54" s="41" t="s">
        <v>34</v>
      </c>
      <c r="E54" s="41" t="s">
        <v>228</v>
      </c>
      <c r="F54" s="41" t="s">
        <v>44</v>
      </c>
      <c r="G54" s="41" t="s">
        <v>386</v>
      </c>
      <c r="H54" s="42" t="s">
        <v>230</v>
      </c>
      <c r="I54" s="41" t="s">
        <v>207</v>
      </c>
      <c r="J54" s="39" t="s">
        <v>438</v>
      </c>
    </row>
    <row r="55" spans="1:10" ht="28.5" x14ac:dyDescent="0.25">
      <c r="A55" s="41" t="s">
        <v>18</v>
      </c>
      <c r="B55" s="41" t="s">
        <v>231</v>
      </c>
      <c r="C55" s="41" t="s">
        <v>232</v>
      </c>
      <c r="D55" s="41" t="s">
        <v>162</v>
      </c>
      <c r="E55" s="41" t="s">
        <v>351</v>
      </c>
      <c r="F55" s="41" t="s">
        <v>44</v>
      </c>
      <c r="G55" s="41" t="s">
        <v>387</v>
      </c>
      <c r="H55" s="42" t="s">
        <v>233</v>
      </c>
      <c r="I55" s="41" t="s">
        <v>207</v>
      </c>
      <c r="J55" s="39" t="s">
        <v>438</v>
      </c>
    </row>
    <row r="56" spans="1:10" ht="42.75" x14ac:dyDescent="0.25">
      <c r="A56" s="51" t="s">
        <v>10</v>
      </c>
      <c r="B56" s="41" t="s">
        <v>235</v>
      </c>
      <c r="C56" s="51" t="s">
        <v>236</v>
      </c>
      <c r="D56" s="51" t="s">
        <v>237</v>
      </c>
      <c r="E56" s="41" t="s">
        <v>234</v>
      </c>
      <c r="F56" s="41" t="s">
        <v>44</v>
      </c>
      <c r="G56" s="41" t="s">
        <v>388</v>
      </c>
      <c r="H56" s="56" t="s">
        <v>238</v>
      </c>
      <c r="I56" s="41" t="s">
        <v>391</v>
      </c>
      <c r="J56" s="39" t="s">
        <v>459</v>
      </c>
    </row>
    <row r="57" spans="1:10" ht="42.75" x14ac:dyDescent="0.25">
      <c r="A57" s="54" t="s">
        <v>54</v>
      </c>
      <c r="B57" s="55" t="s">
        <v>240</v>
      </c>
      <c r="C57" s="54" t="s">
        <v>34</v>
      </c>
      <c r="D57" s="54" t="s">
        <v>34</v>
      </c>
      <c r="E57" s="41" t="s">
        <v>239</v>
      </c>
      <c r="F57" s="41" t="s">
        <v>142</v>
      </c>
      <c r="G57" s="41" t="s">
        <v>389</v>
      </c>
      <c r="H57" s="42" t="s">
        <v>241</v>
      </c>
      <c r="I57" s="41" t="s">
        <v>207</v>
      </c>
      <c r="J57" s="53" t="s">
        <v>458</v>
      </c>
    </row>
    <row r="58" spans="1:10" ht="28.5" x14ac:dyDescent="0.25">
      <c r="A58" s="51" t="s">
        <v>10</v>
      </c>
      <c r="B58" s="41" t="s">
        <v>244</v>
      </c>
      <c r="C58" s="51" t="s">
        <v>243</v>
      </c>
      <c r="D58" s="51" t="s">
        <v>245</v>
      </c>
      <c r="E58" s="41" t="s">
        <v>242</v>
      </c>
      <c r="F58" s="41" t="s">
        <v>35</v>
      </c>
      <c r="G58" s="41" t="s">
        <v>390</v>
      </c>
      <c r="H58" s="68" t="s">
        <v>457</v>
      </c>
      <c r="I58" s="41" t="s">
        <v>207</v>
      </c>
      <c r="J58" s="39" t="s">
        <v>438</v>
      </c>
    </row>
    <row r="59" spans="1:10" ht="28.5" x14ac:dyDescent="0.25">
      <c r="A59" s="51" t="s">
        <v>10</v>
      </c>
      <c r="B59" s="41" t="s">
        <v>61</v>
      </c>
      <c r="C59" s="51" t="s">
        <v>118</v>
      </c>
      <c r="D59" s="51" t="s">
        <v>248</v>
      </c>
      <c r="E59" s="41" t="s">
        <v>247</v>
      </c>
      <c r="F59" s="41" t="s">
        <v>44</v>
      </c>
      <c r="G59" s="41" t="s">
        <v>426</v>
      </c>
      <c r="H59" s="42" t="s">
        <v>249</v>
      </c>
      <c r="I59" s="41" t="s">
        <v>207</v>
      </c>
      <c r="J59" s="53" t="s">
        <v>456</v>
      </c>
    </row>
    <row r="60" spans="1:10" ht="71.25" x14ac:dyDescent="0.25">
      <c r="J60" s="53" t="s">
        <v>455</v>
      </c>
    </row>
    <row r="62" spans="1:10" s="60" customFormat="1" ht="30" x14ac:dyDescent="0.25">
      <c r="A62" s="102" t="s">
        <v>250</v>
      </c>
      <c r="B62" s="102"/>
      <c r="C62" s="102"/>
      <c r="D62" s="102"/>
      <c r="E62" s="102"/>
      <c r="F62" s="102"/>
      <c r="G62" s="102"/>
      <c r="H62" s="102"/>
      <c r="I62" s="102"/>
      <c r="J62" s="61"/>
    </row>
    <row r="63" spans="1:10" x14ac:dyDescent="0.25">
      <c r="A63" s="67"/>
      <c r="B63" s="67"/>
      <c r="C63" s="67"/>
      <c r="D63" s="67"/>
      <c r="E63" s="67"/>
      <c r="F63" s="67"/>
      <c r="G63" s="67"/>
      <c r="H63" s="67"/>
      <c r="I63" s="67"/>
    </row>
    <row r="64" spans="1:10" ht="30" x14ac:dyDescent="0.25">
      <c r="A64" s="66" t="s">
        <v>1</v>
      </c>
      <c r="B64" s="66" t="s">
        <v>2</v>
      </c>
      <c r="C64" s="66" t="s">
        <v>3</v>
      </c>
      <c r="D64" s="66" t="s">
        <v>4</v>
      </c>
      <c r="E64" s="66" t="s">
        <v>5</v>
      </c>
      <c r="F64" s="66" t="s">
        <v>6</v>
      </c>
      <c r="G64" s="66" t="s">
        <v>7</v>
      </c>
      <c r="H64" s="66" t="s">
        <v>251</v>
      </c>
      <c r="I64" s="66" t="s">
        <v>252</v>
      </c>
    </row>
    <row r="65" spans="1:10" ht="28.5" x14ac:dyDescent="0.25">
      <c r="A65" s="62" t="s">
        <v>60</v>
      </c>
      <c r="B65" s="64" t="s">
        <v>254</v>
      </c>
      <c r="C65" s="62" t="s">
        <v>255</v>
      </c>
      <c r="D65" s="62" t="s">
        <v>256</v>
      </c>
      <c r="E65" s="64" t="s">
        <v>253</v>
      </c>
      <c r="F65" s="64" t="s">
        <v>257</v>
      </c>
      <c r="G65" s="64" t="s">
        <v>374</v>
      </c>
      <c r="H65" s="63" t="s">
        <v>258</v>
      </c>
      <c r="I65" s="64" t="s">
        <v>259</v>
      </c>
      <c r="J65" s="39" t="s">
        <v>454</v>
      </c>
    </row>
    <row r="66" spans="1:10" ht="42.75" x14ac:dyDescent="0.25">
      <c r="A66" s="62" t="s">
        <v>10</v>
      </c>
      <c r="B66" s="64" t="s">
        <v>254</v>
      </c>
      <c r="C66" s="62" t="s">
        <v>41</v>
      </c>
      <c r="D66" s="62" t="s">
        <v>260</v>
      </c>
      <c r="E66" s="64" t="s">
        <v>253</v>
      </c>
      <c r="F66" s="64" t="s">
        <v>44</v>
      </c>
      <c r="G66" s="64" t="s">
        <v>375</v>
      </c>
      <c r="H66" s="63" t="s">
        <v>261</v>
      </c>
      <c r="I66" s="64" t="s">
        <v>259</v>
      </c>
      <c r="J66" s="39" t="s">
        <v>453</v>
      </c>
    </row>
    <row r="67" spans="1:10" ht="42.75" x14ac:dyDescent="0.25">
      <c r="A67" s="62" t="s">
        <v>10</v>
      </c>
      <c r="B67" s="64" t="s">
        <v>263</v>
      </c>
      <c r="C67" s="62" t="s">
        <v>82</v>
      </c>
      <c r="D67" s="62" t="s">
        <v>19</v>
      </c>
      <c r="E67" s="64" t="s">
        <v>262</v>
      </c>
      <c r="F67" s="64" t="s">
        <v>44</v>
      </c>
      <c r="G67" s="64" t="s">
        <v>376</v>
      </c>
      <c r="H67" s="63" t="s">
        <v>264</v>
      </c>
      <c r="I67" s="64" t="s">
        <v>259</v>
      </c>
      <c r="J67" s="40" t="s">
        <v>452</v>
      </c>
    </row>
    <row r="68" spans="1:10" ht="57" x14ac:dyDescent="0.25">
      <c r="A68" s="62" t="s">
        <v>18</v>
      </c>
      <c r="B68" s="64" t="s">
        <v>266</v>
      </c>
      <c r="C68" s="62" t="s">
        <v>267</v>
      </c>
      <c r="D68" s="62" t="s">
        <v>268</v>
      </c>
      <c r="E68" s="64" t="s">
        <v>265</v>
      </c>
      <c r="F68" s="64" t="s">
        <v>44</v>
      </c>
      <c r="G68" s="64" t="s">
        <v>377</v>
      </c>
      <c r="H68" s="63" t="s">
        <v>269</v>
      </c>
      <c r="I68" s="64" t="s">
        <v>259</v>
      </c>
      <c r="J68" s="40" t="s">
        <v>451</v>
      </c>
    </row>
    <row r="69" spans="1:10" ht="42.75" x14ac:dyDescent="0.25">
      <c r="A69" s="62" t="s">
        <v>10</v>
      </c>
      <c r="B69" s="64" t="s">
        <v>271</v>
      </c>
      <c r="C69" s="62" t="s">
        <v>19</v>
      </c>
      <c r="D69" s="62" t="s">
        <v>272</v>
      </c>
      <c r="E69" s="64" t="s">
        <v>270</v>
      </c>
      <c r="F69" s="64" t="s">
        <v>44</v>
      </c>
      <c r="G69" s="64" t="s">
        <v>378</v>
      </c>
      <c r="H69" s="65" t="s">
        <v>381</v>
      </c>
      <c r="I69" s="64" t="s">
        <v>259</v>
      </c>
      <c r="J69" s="39" t="s">
        <v>450</v>
      </c>
    </row>
    <row r="70" spans="1:10" ht="57" x14ac:dyDescent="0.25">
      <c r="A70" s="62" t="s">
        <v>274</v>
      </c>
      <c r="B70" s="64" t="s">
        <v>275</v>
      </c>
      <c r="C70" s="62" t="s">
        <v>276</v>
      </c>
      <c r="D70" s="62"/>
      <c r="E70" s="64" t="s">
        <v>273</v>
      </c>
      <c r="F70" s="64" t="s">
        <v>44</v>
      </c>
      <c r="G70" s="64" t="s">
        <v>379</v>
      </c>
      <c r="H70" s="63" t="s">
        <v>277</v>
      </c>
      <c r="I70" s="64" t="s">
        <v>278</v>
      </c>
      <c r="J70" s="39" t="s">
        <v>438</v>
      </c>
    </row>
    <row r="71" spans="1:10" ht="30" x14ac:dyDescent="0.25">
      <c r="A71" s="64" t="s">
        <v>68</v>
      </c>
      <c r="B71" s="64" t="s">
        <v>280</v>
      </c>
      <c r="C71" s="64" t="s">
        <v>281</v>
      </c>
      <c r="D71" s="64" t="s">
        <v>282</v>
      </c>
      <c r="E71" s="64" t="s">
        <v>350</v>
      </c>
      <c r="F71" s="64" t="s">
        <v>35</v>
      </c>
      <c r="G71" s="64" t="s">
        <v>380</v>
      </c>
      <c r="H71" s="63" t="s">
        <v>279</v>
      </c>
      <c r="I71" s="62" t="s">
        <v>259</v>
      </c>
      <c r="J71" s="50" t="s">
        <v>449</v>
      </c>
    </row>
    <row r="74" spans="1:10" s="60" customFormat="1" ht="30" x14ac:dyDescent="0.25">
      <c r="A74" s="102" t="s">
        <v>283</v>
      </c>
      <c r="B74" s="102"/>
      <c r="C74" s="102"/>
      <c r="D74" s="102"/>
      <c r="E74" s="102"/>
      <c r="F74" s="102"/>
      <c r="G74" s="102"/>
      <c r="H74" s="102"/>
      <c r="I74" s="102"/>
      <c r="J74" s="61"/>
    </row>
    <row r="75" spans="1:10" ht="15" x14ac:dyDescent="0.25">
      <c r="A75" s="59"/>
      <c r="B75" s="48"/>
      <c r="C75" s="48"/>
      <c r="D75" s="48"/>
      <c r="E75" s="48"/>
      <c r="F75" s="48"/>
      <c r="G75" s="48"/>
      <c r="H75" s="48"/>
      <c r="I75" s="48"/>
    </row>
    <row r="76" spans="1:10" ht="30" x14ac:dyDescent="0.25">
      <c r="A76" s="58" t="s">
        <v>1</v>
      </c>
      <c r="B76" s="58" t="s">
        <v>2</v>
      </c>
      <c r="C76" s="58" t="s">
        <v>3</v>
      </c>
      <c r="D76" s="58" t="s">
        <v>4</v>
      </c>
      <c r="E76" s="58" t="s">
        <v>5</v>
      </c>
      <c r="F76" s="58" t="s">
        <v>6</v>
      </c>
      <c r="G76" s="58" t="s">
        <v>7</v>
      </c>
      <c r="H76" s="58" t="s">
        <v>284</v>
      </c>
      <c r="I76" s="58" t="s">
        <v>9</v>
      </c>
    </row>
    <row r="77" spans="1:10" ht="28.5" x14ac:dyDescent="0.25">
      <c r="A77" s="44" t="s">
        <v>10</v>
      </c>
      <c r="B77" s="45" t="s">
        <v>288</v>
      </c>
      <c r="C77" s="44" t="s">
        <v>289</v>
      </c>
      <c r="D77" s="44" t="s">
        <v>20</v>
      </c>
      <c r="E77" s="41" t="s">
        <v>285</v>
      </c>
      <c r="F77" s="41" t="s">
        <v>35</v>
      </c>
      <c r="G77" s="41" t="s">
        <v>355</v>
      </c>
      <c r="H77" s="42" t="s">
        <v>290</v>
      </c>
      <c r="I77" s="41" t="s">
        <v>287</v>
      </c>
      <c r="J77" s="39" t="s">
        <v>438</v>
      </c>
    </row>
    <row r="78" spans="1:10" ht="30" x14ac:dyDescent="0.25">
      <c r="A78" s="41" t="s">
        <v>18</v>
      </c>
      <c r="B78" s="41" t="s">
        <v>292</v>
      </c>
      <c r="C78" s="41" t="s">
        <v>293</v>
      </c>
      <c r="D78" s="41" t="s">
        <v>294</v>
      </c>
      <c r="E78" s="41" t="s">
        <v>291</v>
      </c>
      <c r="F78" s="41" t="s">
        <v>142</v>
      </c>
      <c r="G78" s="41" t="s">
        <v>356</v>
      </c>
      <c r="H78" s="42" t="s">
        <v>295</v>
      </c>
      <c r="I78" s="41" t="s">
        <v>287</v>
      </c>
      <c r="J78" s="50" t="s">
        <v>448</v>
      </c>
    </row>
    <row r="79" spans="1:10" ht="28.5" x14ac:dyDescent="0.25">
      <c r="A79" s="41" t="s">
        <v>10</v>
      </c>
      <c r="B79" s="41" t="s">
        <v>139</v>
      </c>
      <c r="C79" s="41" t="s">
        <v>297</v>
      </c>
      <c r="D79" s="41" t="s">
        <v>298</v>
      </c>
      <c r="E79" s="41" t="s">
        <v>296</v>
      </c>
      <c r="F79" s="41" t="s">
        <v>299</v>
      </c>
      <c r="G79" s="45" t="s">
        <v>357</v>
      </c>
      <c r="H79" s="41" t="s">
        <v>373</v>
      </c>
      <c r="I79" s="41" t="s">
        <v>287</v>
      </c>
      <c r="J79" s="40" t="s">
        <v>437</v>
      </c>
    </row>
    <row r="80" spans="1:10" ht="28.5" x14ac:dyDescent="0.25">
      <c r="A80" s="41" t="s">
        <v>10</v>
      </c>
      <c r="B80" s="41" t="s">
        <v>301</v>
      </c>
      <c r="C80" s="41" t="s">
        <v>237</v>
      </c>
      <c r="D80" s="41" t="s">
        <v>302</v>
      </c>
      <c r="E80" s="41" t="s">
        <v>300</v>
      </c>
      <c r="F80" s="41" t="s">
        <v>44</v>
      </c>
      <c r="G80" s="41" t="s">
        <v>358</v>
      </c>
      <c r="H80" s="42" t="s">
        <v>303</v>
      </c>
      <c r="I80" s="41" t="s">
        <v>287</v>
      </c>
      <c r="J80" s="39" t="s">
        <v>438</v>
      </c>
    </row>
    <row r="81" spans="1:13" ht="45" x14ac:dyDescent="0.25">
      <c r="A81" s="41" t="s">
        <v>10</v>
      </c>
      <c r="B81" s="41" t="s">
        <v>304</v>
      </c>
      <c r="C81" s="41" t="s">
        <v>286</v>
      </c>
      <c r="D81" s="41" t="s">
        <v>34</v>
      </c>
      <c r="E81" s="41" t="s">
        <v>305</v>
      </c>
      <c r="F81" s="41" t="s">
        <v>306</v>
      </c>
      <c r="G81" s="41" t="s">
        <v>359</v>
      </c>
      <c r="H81" s="42" t="s">
        <v>371</v>
      </c>
      <c r="I81" s="41" t="s">
        <v>287</v>
      </c>
      <c r="J81" s="53" t="s">
        <v>447</v>
      </c>
      <c r="K81" s="57" t="s">
        <v>446</v>
      </c>
    </row>
    <row r="82" spans="1:13" ht="45" x14ac:dyDescent="0.25">
      <c r="A82" s="41" t="s">
        <v>10</v>
      </c>
      <c r="B82" s="41" t="s">
        <v>307</v>
      </c>
      <c r="C82" s="41" t="s">
        <v>109</v>
      </c>
      <c r="D82" s="41" t="s">
        <v>308</v>
      </c>
      <c r="E82" s="41" t="s">
        <v>305</v>
      </c>
      <c r="F82" s="41" t="s">
        <v>309</v>
      </c>
      <c r="G82" s="41" t="s">
        <v>360</v>
      </c>
      <c r="H82" s="42" t="s">
        <v>372</v>
      </c>
      <c r="I82" s="41" t="s">
        <v>287</v>
      </c>
      <c r="J82" s="53" t="s">
        <v>445</v>
      </c>
      <c r="K82" s="57" t="s">
        <v>444</v>
      </c>
      <c r="L82" s="39" t="s">
        <v>443</v>
      </c>
    </row>
    <row r="83" spans="1:13" ht="42.75" x14ac:dyDescent="0.25">
      <c r="A83" s="51" t="s">
        <v>18</v>
      </c>
      <c r="B83" s="41" t="s">
        <v>311</v>
      </c>
      <c r="C83" s="51" t="s">
        <v>312</v>
      </c>
      <c r="D83" s="51" t="s">
        <v>313</v>
      </c>
      <c r="E83" s="41" t="s">
        <v>310</v>
      </c>
      <c r="F83" s="41" t="s">
        <v>44</v>
      </c>
      <c r="G83" s="41" t="s">
        <v>361</v>
      </c>
      <c r="H83" s="56" t="s">
        <v>314</v>
      </c>
      <c r="I83" s="41" t="s">
        <v>287</v>
      </c>
      <c r="J83" s="39" t="s">
        <v>438</v>
      </c>
    </row>
    <row r="84" spans="1:13" ht="28.5" x14ac:dyDescent="0.25">
      <c r="A84" s="51" t="s">
        <v>18</v>
      </c>
      <c r="B84" s="41" t="s">
        <v>317</v>
      </c>
      <c r="C84" s="51" t="s">
        <v>318</v>
      </c>
      <c r="D84" s="51" t="s">
        <v>75</v>
      </c>
      <c r="E84" s="41" t="s">
        <v>315</v>
      </c>
      <c r="F84" s="41" t="s">
        <v>35</v>
      </c>
      <c r="G84" s="41" t="s">
        <v>362</v>
      </c>
      <c r="H84" s="42" t="s">
        <v>319</v>
      </c>
      <c r="I84" s="41" t="s">
        <v>316</v>
      </c>
      <c r="J84" s="39" t="s">
        <v>438</v>
      </c>
    </row>
    <row r="85" spans="1:13" ht="57" x14ac:dyDescent="0.25">
      <c r="A85" s="54" t="s">
        <v>18</v>
      </c>
      <c r="B85" s="55" t="s">
        <v>321</v>
      </c>
      <c r="C85" s="54" t="s">
        <v>322</v>
      </c>
      <c r="D85" s="54" t="s">
        <v>323</v>
      </c>
      <c r="E85" s="41" t="s">
        <v>320</v>
      </c>
      <c r="F85" s="41" t="s">
        <v>211</v>
      </c>
      <c r="G85" s="41" t="s">
        <v>363</v>
      </c>
      <c r="H85" s="42" t="s">
        <v>324</v>
      </c>
      <c r="I85" s="41" t="s">
        <v>316</v>
      </c>
      <c r="J85" s="53" t="s">
        <v>442</v>
      </c>
      <c r="K85" s="52"/>
    </row>
    <row r="86" spans="1:13" ht="42.75" x14ac:dyDescent="0.25">
      <c r="A86" s="51" t="s">
        <v>18</v>
      </c>
      <c r="B86" s="41" t="s">
        <v>326</v>
      </c>
      <c r="C86" s="51" t="s">
        <v>327</v>
      </c>
      <c r="D86" s="51" t="s">
        <v>328</v>
      </c>
      <c r="E86" s="41" t="s">
        <v>325</v>
      </c>
      <c r="F86" s="41" t="s">
        <v>44</v>
      </c>
      <c r="G86" s="41" t="s">
        <v>364</v>
      </c>
      <c r="H86" s="42" t="s">
        <v>329</v>
      </c>
      <c r="I86" s="41" t="s">
        <v>316</v>
      </c>
      <c r="J86" s="39" t="s">
        <v>438</v>
      </c>
      <c r="K86" s="38" t="s">
        <v>441</v>
      </c>
      <c r="M86" s="52"/>
    </row>
    <row r="87" spans="1:13" ht="28.5" x14ac:dyDescent="0.25">
      <c r="A87" s="51" t="s">
        <v>54</v>
      </c>
      <c r="B87" s="41" t="s">
        <v>331</v>
      </c>
      <c r="C87" s="51" t="s">
        <v>104</v>
      </c>
      <c r="D87" s="51" t="s">
        <v>332</v>
      </c>
      <c r="E87" s="41" t="s">
        <v>330</v>
      </c>
      <c r="F87" s="41" t="s">
        <v>138</v>
      </c>
      <c r="G87" s="41" t="s">
        <v>365</v>
      </c>
      <c r="H87" s="42" t="s">
        <v>333</v>
      </c>
      <c r="I87" s="41" t="s">
        <v>316</v>
      </c>
      <c r="J87" s="39" t="s">
        <v>440</v>
      </c>
    </row>
    <row r="88" spans="1:13" ht="30" x14ac:dyDescent="0.25">
      <c r="A88" s="41" t="s">
        <v>10</v>
      </c>
      <c r="B88" s="41" t="s">
        <v>340</v>
      </c>
      <c r="C88" s="41" t="s">
        <v>341</v>
      </c>
      <c r="D88" s="41"/>
      <c r="E88" s="41" t="s">
        <v>354</v>
      </c>
      <c r="F88" s="41" t="s">
        <v>168</v>
      </c>
      <c r="G88" s="41" t="s">
        <v>366</v>
      </c>
      <c r="H88" s="42" t="s">
        <v>342</v>
      </c>
      <c r="I88" s="41" t="s">
        <v>316</v>
      </c>
      <c r="J88" s="50" t="s">
        <v>439</v>
      </c>
    </row>
    <row r="89" spans="1:13" x14ac:dyDescent="0.25">
      <c r="A89" s="48"/>
      <c r="B89" s="49"/>
      <c r="C89" s="49"/>
      <c r="D89" s="49"/>
      <c r="E89" s="49"/>
      <c r="F89" s="49"/>
      <c r="G89" s="48"/>
      <c r="H89" s="48"/>
      <c r="I89" s="48"/>
    </row>
    <row r="90" spans="1:13" ht="15" x14ac:dyDescent="0.25">
      <c r="A90" s="47"/>
      <c r="B90" s="47"/>
      <c r="C90" s="47"/>
      <c r="D90" s="47"/>
      <c r="E90" s="47"/>
      <c r="F90" s="47"/>
      <c r="G90" s="47"/>
      <c r="H90" s="47"/>
      <c r="I90" s="47"/>
    </row>
    <row r="91" spans="1:13" ht="30" x14ac:dyDescent="0.25">
      <c r="A91" s="41" t="s">
        <v>54</v>
      </c>
      <c r="B91" s="41" t="s">
        <v>335</v>
      </c>
      <c r="C91" s="41" t="s">
        <v>336</v>
      </c>
      <c r="D91" s="41" t="s">
        <v>337</v>
      </c>
      <c r="E91" s="43" t="s">
        <v>334</v>
      </c>
      <c r="F91" s="41" t="s">
        <v>44</v>
      </c>
      <c r="G91" s="41" t="s">
        <v>367</v>
      </c>
      <c r="H91" s="46" t="s">
        <v>370</v>
      </c>
      <c r="I91" s="41" t="s">
        <v>316</v>
      </c>
      <c r="J91" s="39" t="s">
        <v>438</v>
      </c>
    </row>
    <row r="92" spans="1:13" ht="30" x14ac:dyDescent="0.25">
      <c r="A92" s="41" t="s">
        <v>54</v>
      </c>
      <c r="B92" s="41" t="s">
        <v>338</v>
      </c>
      <c r="C92" s="41" t="s">
        <v>75</v>
      </c>
      <c r="D92" s="41" t="s">
        <v>34</v>
      </c>
      <c r="E92" s="43" t="s">
        <v>334</v>
      </c>
      <c r="F92" s="41" t="s">
        <v>35</v>
      </c>
      <c r="G92" s="41" t="s">
        <v>368</v>
      </c>
      <c r="H92" s="42" t="s">
        <v>339</v>
      </c>
      <c r="I92" s="41" t="s">
        <v>316</v>
      </c>
      <c r="J92" s="39" t="s">
        <v>438</v>
      </c>
    </row>
    <row r="93" spans="1:13" ht="30" x14ac:dyDescent="0.25">
      <c r="A93" s="44" t="s">
        <v>54</v>
      </c>
      <c r="B93" s="45" t="s">
        <v>344</v>
      </c>
      <c r="C93" s="44" t="s">
        <v>345</v>
      </c>
      <c r="D93" s="44" t="s">
        <v>346</v>
      </c>
      <c r="E93" s="43" t="s">
        <v>343</v>
      </c>
      <c r="F93" s="41" t="s">
        <v>44</v>
      </c>
      <c r="G93" s="41" t="s">
        <v>369</v>
      </c>
      <c r="H93" s="42" t="s">
        <v>347</v>
      </c>
      <c r="I93" s="41" t="s">
        <v>287</v>
      </c>
      <c r="J93" s="40" t="s">
        <v>437</v>
      </c>
    </row>
  </sheetData>
  <mergeCells count="5">
    <mergeCell ref="A47:I47"/>
    <mergeCell ref="A62:I62"/>
    <mergeCell ref="A74:I74"/>
    <mergeCell ref="A1:I1"/>
    <mergeCell ref="A22:I22"/>
  </mergeCells>
  <hyperlinks>
    <hyperlink ref="H4" r:id="rId1"/>
    <hyperlink ref="H5" r:id="rId2"/>
    <hyperlink ref="H6" r:id="rId3"/>
    <hyperlink ref="H8" r:id="rId4"/>
    <hyperlink ref="H9" r:id="rId5"/>
    <hyperlink ref="H13" r:id="rId6"/>
    <hyperlink ref="H14" r:id="rId7"/>
    <hyperlink ref="H15" r:id="rId8"/>
    <hyperlink ref="H16" r:id="rId9"/>
    <hyperlink ref="H17" r:id="rId10"/>
    <hyperlink ref="H18" r:id="rId11"/>
    <hyperlink ref="H19" r:id="rId12"/>
    <hyperlink ref="H25" r:id="rId13"/>
    <hyperlink ref="H26" r:id="rId14"/>
    <hyperlink ref="H27" r:id="rId15"/>
    <hyperlink ref="H28" r:id="rId16"/>
    <hyperlink ref="H29" r:id="rId17" display="direcciongeneral@canacotorreon.mx; asistentedireccion@canacotorreon.com.mx;"/>
    <hyperlink ref="H30" r:id="rId18"/>
    <hyperlink ref="H31" r:id="rId19"/>
    <hyperlink ref="H32" r:id="rId20"/>
    <hyperlink ref="H36" r:id="rId21"/>
    <hyperlink ref="H37" r:id="rId22"/>
    <hyperlink ref="H38" r:id="rId23"/>
    <hyperlink ref="H39" r:id="rId24"/>
    <hyperlink ref="H40" r:id="rId25"/>
    <hyperlink ref="H41" r:id="rId26"/>
    <hyperlink ref="H42" r:id="rId27"/>
    <hyperlink ref="H43" r:id="rId28"/>
    <hyperlink ref="H44" r:id="rId29"/>
    <hyperlink ref="H51" r:id="rId30"/>
    <hyperlink ref="H53" r:id="rId31"/>
    <hyperlink ref="H54" r:id="rId32"/>
    <hyperlink ref="H55" r:id="rId33"/>
    <hyperlink ref="H57" r:id="rId34"/>
    <hyperlink ref="H58" r:id="rId35"/>
    <hyperlink ref="H59" r:id="rId36"/>
    <hyperlink ref="H65" r:id="rId37"/>
    <hyperlink ref="H66" r:id="rId38"/>
    <hyperlink ref="H67" r:id="rId39"/>
    <hyperlink ref="H68" r:id="rId40"/>
    <hyperlink ref="H70" r:id="rId41"/>
    <hyperlink ref="H71" r:id="rId42"/>
    <hyperlink ref="H78" r:id="rId43"/>
    <hyperlink ref="H84" r:id="rId44"/>
    <hyperlink ref="H85" r:id="rId45"/>
    <hyperlink ref="H86" r:id="rId46"/>
    <hyperlink ref="H91" r:id="rId47"/>
    <hyperlink ref="H92" r:id="rId48"/>
    <hyperlink ref="H88" r:id="rId49"/>
    <hyperlink ref="H93" r:id="rId50"/>
    <hyperlink ref="J78" r:id="rId51"/>
    <hyperlink ref="J88" r:id="rId52"/>
    <hyperlink ref="J71" r:id="rId53"/>
    <hyperlink ref="K81" r:id="rId54"/>
    <hyperlink ref="K82" r:id="rId55"/>
    <hyperlink ref="J17" r:id="rId56"/>
  </hyperlinks>
  <printOptions horizontalCentered="1" verticalCentered="1"/>
  <pageMargins left="0.43307086614173229" right="0.43307086614173229" top="0.23622047244094491" bottom="0.23622047244094491" header="0" footer="0"/>
  <pageSetup scale="55" orientation="landscape" r:id="rId5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O93"/>
  <sheetViews>
    <sheetView zoomScale="110" zoomScaleNormal="110" workbookViewId="0">
      <selection activeCell="L85" sqref="L85"/>
    </sheetView>
  </sheetViews>
  <sheetFormatPr baseColWidth="10" defaultColWidth="14.42578125" defaultRowHeight="14.25" x14ac:dyDescent="0.25"/>
  <cols>
    <col min="1" max="1" width="12.42578125" style="38" bestFit="1" customWidth="1"/>
    <col min="2" max="2" width="23.85546875" style="38" bestFit="1" customWidth="1"/>
    <col min="3" max="3" width="24.28515625" style="38" bestFit="1" customWidth="1"/>
    <col min="4" max="4" width="15.28515625" style="38" bestFit="1" customWidth="1"/>
    <col min="5" max="5" width="50" style="38" bestFit="1" customWidth="1"/>
    <col min="6" max="6" width="18.85546875" style="38" bestFit="1" customWidth="1"/>
    <col min="7" max="7" width="26.42578125" style="38" bestFit="1" customWidth="1"/>
    <col min="8" max="8" width="46.5703125" style="38" bestFit="1" customWidth="1"/>
    <col min="9" max="9" width="17" style="38" bestFit="1" customWidth="1"/>
    <col min="10" max="10" width="21.7109375" style="39" customWidth="1"/>
    <col min="11" max="16384" width="14.42578125" style="38"/>
  </cols>
  <sheetData>
    <row r="1" spans="1:13" s="60" customFormat="1" ht="30" x14ac:dyDescent="0.25">
      <c r="A1" s="102" t="s">
        <v>0</v>
      </c>
      <c r="B1" s="102"/>
      <c r="C1" s="102"/>
      <c r="D1" s="102"/>
      <c r="E1" s="102"/>
      <c r="F1" s="102"/>
      <c r="G1" s="102"/>
      <c r="H1" s="102"/>
      <c r="I1" s="102"/>
      <c r="J1" s="61"/>
    </row>
    <row r="2" spans="1:13" ht="15" x14ac:dyDescent="0.25">
      <c r="A2" s="83"/>
      <c r="B2" s="67"/>
      <c r="C2" s="67"/>
      <c r="D2" s="67"/>
      <c r="E2" s="67"/>
      <c r="F2" s="67"/>
      <c r="G2" s="67"/>
      <c r="H2" s="67"/>
      <c r="I2" s="67"/>
    </row>
    <row r="3" spans="1:13" ht="30" x14ac:dyDescent="0.25">
      <c r="A3" s="66" t="s">
        <v>1</v>
      </c>
      <c r="B3" s="66" t="s">
        <v>2</v>
      </c>
      <c r="C3" s="66" t="s">
        <v>3</v>
      </c>
      <c r="D3" s="66" t="s">
        <v>4</v>
      </c>
      <c r="E3" s="66" t="s">
        <v>5</v>
      </c>
      <c r="F3" s="66" t="s">
        <v>6</v>
      </c>
      <c r="G3" s="66" t="s">
        <v>7</v>
      </c>
      <c r="H3" s="66" t="s">
        <v>8</v>
      </c>
      <c r="I3" s="66" t="s">
        <v>9</v>
      </c>
      <c r="J3" s="17" t="s">
        <v>433</v>
      </c>
      <c r="K3" s="17" t="s">
        <v>434</v>
      </c>
      <c r="L3" s="39"/>
    </row>
    <row r="4" spans="1:13" ht="57" x14ac:dyDescent="0.25">
      <c r="A4" s="62" t="s">
        <v>10</v>
      </c>
      <c r="B4" s="64" t="s">
        <v>349</v>
      </c>
      <c r="C4" s="62" t="s">
        <v>12</v>
      </c>
      <c r="D4" s="62" t="s">
        <v>13</v>
      </c>
      <c r="E4" s="64" t="s">
        <v>14</v>
      </c>
      <c r="F4" s="64" t="s">
        <v>15</v>
      </c>
      <c r="G4" s="64" t="s">
        <v>411</v>
      </c>
      <c r="H4" s="63" t="s">
        <v>16</v>
      </c>
      <c r="I4" s="64" t="s">
        <v>11</v>
      </c>
      <c r="J4" s="20" t="s">
        <v>428</v>
      </c>
      <c r="K4" s="20" t="str">
        <f>VLOOKUP(J4,Hoja1!$A$1:$B$5,2,0)</f>
        <v>https://forms.gle/83kUtEx8hSA39tgy7</v>
      </c>
      <c r="L4" s="39" t="s">
        <v>438</v>
      </c>
    </row>
    <row r="5" spans="1:13" ht="42.75" x14ac:dyDescent="0.25">
      <c r="A5" s="72" t="s">
        <v>22</v>
      </c>
      <c r="B5" s="70" t="s">
        <v>23</v>
      </c>
      <c r="C5" s="72" t="s">
        <v>24</v>
      </c>
      <c r="D5" s="72" t="s">
        <v>25</v>
      </c>
      <c r="E5" s="70" t="s">
        <v>17</v>
      </c>
      <c r="F5" s="70" t="s">
        <v>26</v>
      </c>
      <c r="G5" s="70" t="s">
        <v>412</v>
      </c>
      <c r="H5" s="63" t="s">
        <v>27</v>
      </c>
      <c r="I5" s="64" t="s">
        <v>21</v>
      </c>
      <c r="J5" s="20" t="s">
        <v>428</v>
      </c>
      <c r="K5" s="20" t="str">
        <f>VLOOKUP(J5,Hoja1!$A$1:$B$5,2,0)</f>
        <v>https://forms.gle/83kUtEx8hSA39tgy7</v>
      </c>
      <c r="L5" s="39" t="s">
        <v>438</v>
      </c>
    </row>
    <row r="6" spans="1:13" ht="42.75" x14ac:dyDescent="0.25">
      <c r="A6" s="62" t="s">
        <v>18</v>
      </c>
      <c r="B6" s="64" t="s">
        <v>32</v>
      </c>
      <c r="C6" s="62" t="s">
        <v>33</v>
      </c>
      <c r="D6" s="62" t="s">
        <v>34</v>
      </c>
      <c r="E6" s="64" t="s">
        <v>30</v>
      </c>
      <c r="F6" s="64" t="s">
        <v>35</v>
      </c>
      <c r="G6" s="64" t="s">
        <v>413</v>
      </c>
      <c r="H6" s="63" t="s">
        <v>31</v>
      </c>
      <c r="I6" s="64" t="s">
        <v>21</v>
      </c>
      <c r="J6" s="20" t="s">
        <v>428</v>
      </c>
      <c r="K6" s="20" t="str">
        <f>VLOOKUP(J6,Hoja1!$A$1:$B$5,2,0)</f>
        <v>https://forms.gle/83kUtEx8hSA39tgy7</v>
      </c>
      <c r="L6" s="40" t="s">
        <v>437</v>
      </c>
      <c r="M6" s="38" t="s">
        <v>441</v>
      </c>
    </row>
    <row r="7" spans="1:13" ht="42.75" x14ac:dyDescent="0.25">
      <c r="A7" s="62" t="s">
        <v>18</v>
      </c>
      <c r="B7" s="64" t="s">
        <v>39</v>
      </c>
      <c r="C7" s="62" t="s">
        <v>40</v>
      </c>
      <c r="D7" s="62" t="s">
        <v>41</v>
      </c>
      <c r="E7" s="64" t="s">
        <v>36</v>
      </c>
      <c r="F7" s="64" t="s">
        <v>42</v>
      </c>
      <c r="G7" s="64" t="s">
        <v>414</v>
      </c>
      <c r="H7" s="63" t="s">
        <v>38</v>
      </c>
      <c r="I7" s="64" t="s">
        <v>21</v>
      </c>
      <c r="J7" s="20" t="s">
        <v>430</v>
      </c>
      <c r="K7" s="20" t="str">
        <f>VLOOKUP(J7,Hoja1!$A$1:$B$5,2,0)</f>
        <v>https://forms.gle/jHH5VjT1WmWcRtWWA</v>
      </c>
      <c r="L7" s="39" t="s">
        <v>438</v>
      </c>
    </row>
    <row r="8" spans="1:13" ht="114" x14ac:dyDescent="0.25">
      <c r="A8" s="62" t="s">
        <v>10</v>
      </c>
      <c r="B8" s="64" t="s">
        <v>45</v>
      </c>
      <c r="C8" s="62" t="s">
        <v>46</v>
      </c>
      <c r="D8" s="62" t="s">
        <v>47</v>
      </c>
      <c r="E8" s="64" t="s">
        <v>43</v>
      </c>
      <c r="F8" s="64" t="s">
        <v>48</v>
      </c>
      <c r="G8" s="64" t="s">
        <v>415</v>
      </c>
      <c r="H8" s="63" t="s">
        <v>49</v>
      </c>
      <c r="I8" s="64" t="s">
        <v>21</v>
      </c>
      <c r="J8" s="20" t="s">
        <v>428</v>
      </c>
      <c r="K8" s="20" t="str">
        <f>VLOOKUP(J8,Hoja1!$A$1:$B$5,2,0)</f>
        <v>https://forms.gle/83kUtEx8hSA39tgy7</v>
      </c>
      <c r="L8" s="39" t="s">
        <v>482</v>
      </c>
    </row>
    <row r="9" spans="1:13" ht="28.5" x14ac:dyDescent="0.25">
      <c r="A9" s="62" t="s">
        <v>10</v>
      </c>
      <c r="B9" s="64" t="s">
        <v>51</v>
      </c>
      <c r="C9" s="62" t="s">
        <v>34</v>
      </c>
      <c r="D9" s="62"/>
      <c r="E9" s="64" t="s">
        <v>50</v>
      </c>
      <c r="F9" s="64" t="s">
        <v>35</v>
      </c>
      <c r="G9" s="64" t="s">
        <v>416</v>
      </c>
      <c r="H9" s="63" t="s">
        <v>52</v>
      </c>
      <c r="I9" s="64" t="s">
        <v>21</v>
      </c>
      <c r="J9" s="20" t="s">
        <v>428</v>
      </c>
      <c r="K9" s="20" t="str">
        <f>VLOOKUP(J9,Hoja1!$A$1:$B$5,2,0)</f>
        <v>https://forms.gle/83kUtEx8hSA39tgy7</v>
      </c>
      <c r="L9" s="40" t="s">
        <v>481</v>
      </c>
      <c r="M9" s="38" t="s">
        <v>480</v>
      </c>
    </row>
    <row r="10" spans="1:13" ht="71.25" x14ac:dyDescent="0.25">
      <c r="A10" s="70" t="s">
        <v>18</v>
      </c>
      <c r="B10" s="70" t="s">
        <v>55</v>
      </c>
      <c r="C10" s="70" t="s">
        <v>56</v>
      </c>
      <c r="D10" s="70" t="s">
        <v>57</v>
      </c>
      <c r="E10" s="64" t="s">
        <v>53</v>
      </c>
      <c r="F10" s="64" t="s">
        <v>42</v>
      </c>
      <c r="G10" s="64" t="s">
        <v>417</v>
      </c>
      <c r="H10" s="78" t="s">
        <v>58</v>
      </c>
      <c r="I10" s="64" t="s">
        <v>21</v>
      </c>
      <c r="J10" s="20" t="s">
        <v>428</v>
      </c>
      <c r="K10" s="20" t="str">
        <f>VLOOKUP(J10,Hoja1!$A$1:$B$5,2,0)</f>
        <v>https://forms.gle/83kUtEx8hSA39tgy7</v>
      </c>
      <c r="L10" s="39" t="s">
        <v>438</v>
      </c>
    </row>
    <row r="11" spans="1:13" ht="42.75" x14ac:dyDescent="0.25">
      <c r="A11" s="70" t="s">
        <v>60</v>
      </c>
      <c r="B11" s="70" t="s">
        <v>61</v>
      </c>
      <c r="C11" s="70" t="s">
        <v>41</v>
      </c>
      <c r="D11" s="70" t="s">
        <v>62</v>
      </c>
      <c r="E11" s="64" t="s">
        <v>59</v>
      </c>
      <c r="F11" s="64" t="s">
        <v>63</v>
      </c>
      <c r="G11" s="64" t="s">
        <v>418</v>
      </c>
      <c r="H11" s="78" t="s">
        <v>64</v>
      </c>
      <c r="I11" s="64" t="s">
        <v>21</v>
      </c>
      <c r="J11" s="20" t="s">
        <v>429</v>
      </c>
      <c r="K11" s="20" t="str">
        <f>VLOOKUP(J11,Hoja1!$A$1:$B$5,2,0)</f>
        <v>https://forms.gle/6MtmXcSL3NRdJKFf7</v>
      </c>
      <c r="L11" s="40" t="s">
        <v>479</v>
      </c>
    </row>
    <row r="12" spans="1:13" ht="42.75" x14ac:dyDescent="0.25">
      <c r="A12" s="70" t="s">
        <v>60</v>
      </c>
      <c r="B12" s="70" t="s">
        <v>65</v>
      </c>
      <c r="C12" s="70" t="s">
        <v>41</v>
      </c>
      <c r="D12" s="70" t="s">
        <v>66</v>
      </c>
      <c r="E12" s="64" t="s">
        <v>59</v>
      </c>
      <c r="F12" s="64" t="s">
        <v>35</v>
      </c>
      <c r="G12" s="64" t="s">
        <v>418</v>
      </c>
      <c r="H12" s="78" t="s">
        <v>67</v>
      </c>
      <c r="I12" s="64" t="s">
        <v>21</v>
      </c>
      <c r="J12" s="20" t="s">
        <v>429</v>
      </c>
      <c r="K12" s="20" t="str">
        <f>VLOOKUP(J12,Hoja1!$A$1:$B$5,2,0)</f>
        <v>https://forms.gle/6MtmXcSL3NRdJKFf7</v>
      </c>
      <c r="L12" s="40" t="s">
        <v>479</v>
      </c>
    </row>
    <row r="13" spans="1:13" ht="28.5" x14ac:dyDescent="0.25">
      <c r="A13" s="70" t="s">
        <v>68</v>
      </c>
      <c r="B13" s="70" t="s">
        <v>69</v>
      </c>
      <c r="C13" s="70" t="s">
        <v>34</v>
      </c>
      <c r="D13" s="70" t="s">
        <v>70</v>
      </c>
      <c r="E13" s="64" t="s">
        <v>348</v>
      </c>
      <c r="F13" s="64" t="s">
        <v>44</v>
      </c>
      <c r="G13" s="64" t="s">
        <v>71</v>
      </c>
      <c r="H13" s="63" t="s">
        <v>72</v>
      </c>
      <c r="I13" s="64" t="s">
        <v>21</v>
      </c>
      <c r="J13" s="20" t="s">
        <v>428</v>
      </c>
      <c r="K13" s="20" t="str">
        <f>VLOOKUP(J13,Hoja1!$A$1:$B$5,2,0)</f>
        <v>https://forms.gle/83kUtEx8hSA39tgy7</v>
      </c>
      <c r="L13" s="40" t="s">
        <v>478</v>
      </c>
      <c r="M13" s="82" t="s">
        <v>441</v>
      </c>
    </row>
    <row r="14" spans="1:13" ht="71.25" x14ac:dyDescent="0.25">
      <c r="A14" s="64" t="s">
        <v>18</v>
      </c>
      <c r="B14" s="64" t="s">
        <v>74</v>
      </c>
      <c r="C14" s="64" t="s">
        <v>75</v>
      </c>
      <c r="D14" s="64" t="s">
        <v>76</v>
      </c>
      <c r="E14" s="64" t="s">
        <v>73</v>
      </c>
      <c r="F14" s="64" t="s">
        <v>44</v>
      </c>
      <c r="G14" s="64" t="s">
        <v>419</v>
      </c>
      <c r="H14" s="63" t="s">
        <v>77</v>
      </c>
      <c r="I14" s="64" t="s">
        <v>78</v>
      </c>
      <c r="J14" s="20" t="s">
        <v>428</v>
      </c>
      <c r="K14" s="20" t="str">
        <f>VLOOKUP(J14,Hoja1!$A$1:$B$5,2,0)</f>
        <v>https://forms.gle/83kUtEx8hSA39tgy7</v>
      </c>
      <c r="L14" s="39" t="s">
        <v>438</v>
      </c>
    </row>
    <row r="15" spans="1:13" ht="28.5" x14ac:dyDescent="0.25">
      <c r="A15" s="70" t="s">
        <v>80</v>
      </c>
      <c r="B15" s="70" t="s">
        <v>81</v>
      </c>
      <c r="C15" s="70" t="s">
        <v>82</v>
      </c>
      <c r="D15" s="70" t="s">
        <v>83</v>
      </c>
      <c r="E15" s="64" t="s">
        <v>79</v>
      </c>
      <c r="F15" s="64" t="s">
        <v>44</v>
      </c>
      <c r="G15" s="64" t="s">
        <v>420</v>
      </c>
      <c r="H15" s="63" t="s">
        <v>84</v>
      </c>
      <c r="I15" s="64" t="s">
        <v>21</v>
      </c>
      <c r="J15" s="20" t="s">
        <v>428</v>
      </c>
      <c r="K15" s="20" t="str">
        <f>VLOOKUP(J15,Hoja1!$A$1:$B$5,2,0)</f>
        <v>https://forms.gle/83kUtEx8hSA39tgy7</v>
      </c>
      <c r="L15" s="39" t="s">
        <v>438</v>
      </c>
    </row>
    <row r="16" spans="1:13" ht="42.75" x14ac:dyDescent="0.25">
      <c r="A16" s="70" t="s">
        <v>54</v>
      </c>
      <c r="B16" s="70" t="s">
        <v>86</v>
      </c>
      <c r="C16" s="70" t="s">
        <v>87</v>
      </c>
      <c r="D16" s="70" t="s">
        <v>88</v>
      </c>
      <c r="E16" s="64" t="s">
        <v>353</v>
      </c>
      <c r="F16" s="64" t="s">
        <v>42</v>
      </c>
      <c r="G16" s="64" t="s">
        <v>421</v>
      </c>
      <c r="H16" s="63" t="s">
        <v>85</v>
      </c>
      <c r="I16" s="64" t="s">
        <v>21</v>
      </c>
      <c r="J16" s="20"/>
      <c r="K16" s="20" t="e">
        <f>VLOOKUP(J16,Hoja1!$A$1:$B$5,2,0)</f>
        <v>#N/A</v>
      </c>
      <c r="L16" s="39" t="s">
        <v>477</v>
      </c>
    </row>
    <row r="17" spans="1:12" ht="42.75" x14ac:dyDescent="0.25">
      <c r="A17" s="64" t="s">
        <v>10</v>
      </c>
      <c r="B17" s="64" t="s">
        <v>90</v>
      </c>
      <c r="C17" s="64" t="s">
        <v>70</v>
      </c>
      <c r="D17" s="64" t="s">
        <v>91</v>
      </c>
      <c r="E17" s="64" t="s">
        <v>89</v>
      </c>
      <c r="F17" s="64" t="s">
        <v>35</v>
      </c>
      <c r="G17" s="64" t="s">
        <v>422</v>
      </c>
      <c r="H17" s="63" t="s">
        <v>92</v>
      </c>
      <c r="I17" s="64" t="s">
        <v>21</v>
      </c>
      <c r="J17" s="20"/>
      <c r="K17" s="20" t="e">
        <f>VLOOKUP(J17,Hoja1!$A$1:$B$5,2,0)</f>
        <v>#N/A</v>
      </c>
      <c r="L17" s="85" t="s">
        <v>476</v>
      </c>
    </row>
    <row r="18" spans="1:12" ht="42.75" x14ac:dyDescent="0.25">
      <c r="A18" s="64" t="s">
        <v>18</v>
      </c>
      <c r="B18" s="64" t="s">
        <v>95</v>
      </c>
      <c r="C18" s="64" t="s">
        <v>96</v>
      </c>
      <c r="D18" s="64" t="s">
        <v>29</v>
      </c>
      <c r="E18" s="64" t="s">
        <v>93</v>
      </c>
      <c r="F18" s="64" t="s">
        <v>35</v>
      </c>
      <c r="G18" s="64" t="s">
        <v>423</v>
      </c>
      <c r="H18" s="63" t="s">
        <v>94</v>
      </c>
      <c r="I18" s="64" t="s">
        <v>21</v>
      </c>
      <c r="J18" s="20" t="s">
        <v>428</v>
      </c>
      <c r="K18" s="20" t="str">
        <f>VLOOKUP(J18,Hoja1!$A$1:$B$5,2,0)</f>
        <v>https://forms.gle/83kUtEx8hSA39tgy7</v>
      </c>
      <c r="L18" s="40" t="s">
        <v>475</v>
      </c>
    </row>
    <row r="19" spans="1:12" ht="71.25" x14ac:dyDescent="0.25">
      <c r="A19" s="64" t="s">
        <v>18</v>
      </c>
      <c r="B19" s="64" t="s">
        <v>98</v>
      </c>
      <c r="C19" s="64" t="s">
        <v>99</v>
      </c>
      <c r="D19" s="64" t="s">
        <v>100</v>
      </c>
      <c r="E19" s="64" t="s">
        <v>97</v>
      </c>
      <c r="F19" s="64" t="s">
        <v>101</v>
      </c>
      <c r="G19" s="64" t="s">
        <v>424</v>
      </c>
      <c r="H19" s="63" t="s">
        <v>102</v>
      </c>
      <c r="I19" s="64" t="s">
        <v>21</v>
      </c>
      <c r="J19" s="20" t="s">
        <v>428</v>
      </c>
      <c r="K19" s="20" t="str">
        <f>VLOOKUP(J19,Hoja1!$A$1:$B$5,2,0)</f>
        <v>https://forms.gle/83kUtEx8hSA39tgy7</v>
      </c>
      <c r="L19" s="40" t="s">
        <v>474</v>
      </c>
    </row>
    <row r="20" spans="1:12" x14ac:dyDescent="0.25">
      <c r="J20" s="20"/>
      <c r="K20" s="20"/>
      <c r="L20" s="39"/>
    </row>
    <row r="21" spans="1:12" x14ac:dyDescent="0.25">
      <c r="J21" s="20"/>
      <c r="K21" s="20"/>
      <c r="L21" s="39"/>
    </row>
    <row r="22" spans="1:12" s="60" customFormat="1" ht="30" x14ac:dyDescent="0.25">
      <c r="A22" s="102" t="s">
        <v>103</v>
      </c>
      <c r="B22" s="102"/>
      <c r="C22" s="102"/>
      <c r="D22" s="102"/>
      <c r="E22" s="102"/>
      <c r="F22" s="102"/>
      <c r="G22" s="102"/>
      <c r="H22" s="102"/>
      <c r="I22" s="102"/>
      <c r="J22" s="26"/>
      <c r="K22" s="26"/>
      <c r="L22" s="61"/>
    </row>
    <row r="23" spans="1:12" ht="15" x14ac:dyDescent="0.25">
      <c r="A23" s="81"/>
      <c r="B23" s="67"/>
      <c r="C23" s="67"/>
      <c r="D23" s="67"/>
      <c r="E23" s="67"/>
      <c r="F23" s="67"/>
      <c r="G23" s="67"/>
      <c r="H23" s="67"/>
      <c r="I23" s="67"/>
      <c r="J23" s="20"/>
      <c r="K23" s="20"/>
      <c r="L23" s="39"/>
    </row>
    <row r="24" spans="1:12" ht="30" x14ac:dyDescent="0.25">
      <c r="A24" s="80" t="s">
        <v>1</v>
      </c>
      <c r="B24" s="80" t="s">
        <v>2</v>
      </c>
      <c r="C24" s="80" t="s">
        <v>3</v>
      </c>
      <c r="D24" s="80" t="s">
        <v>4</v>
      </c>
      <c r="E24" s="80" t="s">
        <v>5</v>
      </c>
      <c r="F24" s="80" t="s">
        <v>6</v>
      </c>
      <c r="G24" s="66" t="s">
        <v>7</v>
      </c>
      <c r="H24" s="80" t="s">
        <v>8</v>
      </c>
      <c r="I24" s="80" t="s">
        <v>9</v>
      </c>
      <c r="J24" s="20"/>
      <c r="K24" s="20"/>
      <c r="L24" s="39"/>
    </row>
    <row r="25" spans="1:12" ht="71.25" x14ac:dyDescent="0.25">
      <c r="A25" s="72" t="s">
        <v>10</v>
      </c>
      <c r="B25" s="70" t="s">
        <v>107</v>
      </c>
      <c r="C25" s="72" t="s">
        <v>108</v>
      </c>
      <c r="D25" s="72" t="s">
        <v>109</v>
      </c>
      <c r="E25" s="64" t="s">
        <v>105</v>
      </c>
      <c r="F25" s="64" t="s">
        <v>110</v>
      </c>
      <c r="G25" s="64" t="s">
        <v>393</v>
      </c>
      <c r="H25" s="87" t="s">
        <v>559</v>
      </c>
      <c r="I25" s="64" t="s">
        <v>106</v>
      </c>
      <c r="J25" s="20" t="s">
        <v>428</v>
      </c>
      <c r="K25" s="20" t="str">
        <f>VLOOKUP(J25,Hoja1!$A$1:$B$5,2,0)</f>
        <v>https://forms.gle/83kUtEx8hSA39tgy7</v>
      </c>
      <c r="L25" s="39" t="s">
        <v>473</v>
      </c>
    </row>
    <row r="26" spans="1:12" ht="28.5" x14ac:dyDescent="0.25">
      <c r="A26" s="70" t="s">
        <v>54</v>
      </c>
      <c r="B26" s="70" t="s">
        <v>112</v>
      </c>
      <c r="C26" s="70" t="s">
        <v>113</v>
      </c>
      <c r="D26" s="70" t="s">
        <v>109</v>
      </c>
      <c r="E26" s="64" t="s">
        <v>114</v>
      </c>
      <c r="F26" s="64" t="s">
        <v>44</v>
      </c>
      <c r="G26" s="64" t="s">
        <v>394</v>
      </c>
      <c r="H26" s="63" t="s">
        <v>115</v>
      </c>
      <c r="I26" s="64" t="s">
        <v>106</v>
      </c>
      <c r="J26" s="20" t="s">
        <v>428</v>
      </c>
      <c r="K26" s="20" t="str">
        <f>VLOOKUP(J26,Hoja1!$A$1:$B$5,2,0)</f>
        <v>https://forms.gle/83kUtEx8hSA39tgy7</v>
      </c>
      <c r="L26" s="39" t="s">
        <v>438</v>
      </c>
    </row>
    <row r="27" spans="1:12" ht="28.5" x14ac:dyDescent="0.25">
      <c r="A27" s="70" t="s">
        <v>10</v>
      </c>
      <c r="B27" s="70" t="s">
        <v>117</v>
      </c>
      <c r="C27" s="70" t="s">
        <v>118</v>
      </c>
      <c r="D27" s="70" t="s">
        <v>119</v>
      </c>
      <c r="E27" s="64" t="s">
        <v>116</v>
      </c>
      <c r="F27" s="64" t="s">
        <v>120</v>
      </c>
      <c r="G27" s="64" t="s">
        <v>395</v>
      </c>
      <c r="H27" s="63" t="s">
        <v>121</v>
      </c>
      <c r="I27" s="64" t="s">
        <v>106</v>
      </c>
      <c r="J27" s="20" t="s">
        <v>429</v>
      </c>
      <c r="K27" s="20" t="str">
        <f>VLOOKUP(J27,Hoja1!$A$1:$B$5,2,0)</f>
        <v>https://forms.gle/6MtmXcSL3NRdJKFf7</v>
      </c>
      <c r="L27" s="39" t="s">
        <v>438</v>
      </c>
    </row>
    <row r="28" spans="1:12" ht="28.5" x14ac:dyDescent="0.25">
      <c r="A28" s="70" t="s">
        <v>68</v>
      </c>
      <c r="B28" s="70" t="s">
        <v>122</v>
      </c>
      <c r="C28" s="70" t="s">
        <v>123</v>
      </c>
      <c r="D28" s="70" t="s">
        <v>124</v>
      </c>
      <c r="E28" s="64" t="s">
        <v>116</v>
      </c>
      <c r="F28" s="64" t="s">
        <v>35</v>
      </c>
      <c r="G28" s="64" t="s">
        <v>395</v>
      </c>
      <c r="H28" s="63" t="s">
        <v>121</v>
      </c>
      <c r="I28" s="64" t="s">
        <v>106</v>
      </c>
      <c r="J28" s="20" t="s">
        <v>429</v>
      </c>
      <c r="K28" s="20" t="str">
        <f>VLOOKUP(J28,Hoja1!$A$1:$B$5,2,0)</f>
        <v>https://forms.gle/6MtmXcSL3NRdJKFf7</v>
      </c>
      <c r="L28" s="39" t="s">
        <v>438</v>
      </c>
    </row>
    <row r="29" spans="1:12" ht="57" x14ac:dyDescent="0.25">
      <c r="A29" s="70" t="s">
        <v>10</v>
      </c>
      <c r="B29" s="70" t="s">
        <v>127</v>
      </c>
      <c r="C29" s="70" t="s">
        <v>128</v>
      </c>
      <c r="D29" s="70" t="s">
        <v>129</v>
      </c>
      <c r="E29" s="64" t="s">
        <v>126</v>
      </c>
      <c r="F29" s="64" t="s">
        <v>15</v>
      </c>
      <c r="G29" s="64" t="s">
        <v>396</v>
      </c>
      <c r="H29" s="79" t="s">
        <v>472</v>
      </c>
      <c r="I29" s="64" t="s">
        <v>106</v>
      </c>
      <c r="J29" s="20" t="s">
        <v>430</v>
      </c>
      <c r="K29" s="20" t="str">
        <f>VLOOKUP(J29,Hoja1!$A$1:$B$5,2,0)</f>
        <v>https://forms.gle/jHH5VjT1WmWcRtWWA</v>
      </c>
      <c r="L29" s="39" t="s">
        <v>438</v>
      </c>
    </row>
    <row r="30" spans="1:12" ht="28.5" x14ac:dyDescent="0.25">
      <c r="A30" s="70" t="s">
        <v>132</v>
      </c>
      <c r="B30" s="70" t="s">
        <v>133</v>
      </c>
      <c r="C30" s="70" t="s">
        <v>134</v>
      </c>
      <c r="D30" s="70" t="s">
        <v>125</v>
      </c>
      <c r="E30" s="64" t="s">
        <v>131</v>
      </c>
      <c r="F30" s="64" t="s">
        <v>142</v>
      </c>
      <c r="G30" s="64" t="s">
        <v>397</v>
      </c>
      <c r="H30" s="63" t="s">
        <v>135</v>
      </c>
      <c r="I30" s="64" t="s">
        <v>106</v>
      </c>
      <c r="J30" s="20" t="s">
        <v>428</v>
      </c>
      <c r="K30" s="20" t="str">
        <f>VLOOKUP(J30,Hoja1!$A$1:$B$5,2,0)</f>
        <v>https://forms.gle/83kUtEx8hSA39tgy7</v>
      </c>
      <c r="L30" s="39" t="s">
        <v>438</v>
      </c>
    </row>
    <row r="31" spans="1:12" ht="42.75" x14ac:dyDescent="0.25">
      <c r="A31" s="70" t="s">
        <v>10</v>
      </c>
      <c r="B31" s="70" t="s">
        <v>139</v>
      </c>
      <c r="C31" s="70" t="s">
        <v>140</v>
      </c>
      <c r="D31" s="70" t="s">
        <v>141</v>
      </c>
      <c r="E31" s="64" t="s">
        <v>136</v>
      </c>
      <c r="F31" s="64" t="s">
        <v>42</v>
      </c>
      <c r="G31" s="64" t="s">
        <v>398</v>
      </c>
      <c r="H31" s="63" t="s">
        <v>471</v>
      </c>
      <c r="I31" s="64" t="s">
        <v>106</v>
      </c>
      <c r="J31" s="20" t="s">
        <v>428</v>
      </c>
      <c r="K31" s="20" t="str">
        <f>VLOOKUP(J31,Hoja1!$A$1:$B$5,2,0)</f>
        <v>https://forms.gle/83kUtEx8hSA39tgy7</v>
      </c>
      <c r="L31" s="39" t="s">
        <v>470</v>
      </c>
    </row>
    <row r="32" spans="1:12" ht="28.5" x14ac:dyDescent="0.25">
      <c r="A32" s="70" t="s">
        <v>60</v>
      </c>
      <c r="B32" s="70" t="s">
        <v>144</v>
      </c>
      <c r="C32" s="70" t="s">
        <v>145</v>
      </c>
      <c r="D32" s="70" t="s">
        <v>146</v>
      </c>
      <c r="E32" s="64" t="s">
        <v>143</v>
      </c>
      <c r="F32" s="71" t="s">
        <v>44</v>
      </c>
      <c r="G32" s="64" t="s">
        <v>399</v>
      </c>
      <c r="H32" s="63" t="s">
        <v>147</v>
      </c>
      <c r="I32" s="64" t="s">
        <v>106</v>
      </c>
      <c r="J32" s="20" t="s">
        <v>428</v>
      </c>
      <c r="K32" s="20" t="str">
        <f>VLOOKUP(J32,Hoja1!$A$1:$B$5,2,0)</f>
        <v>https://forms.gle/83kUtEx8hSA39tgy7</v>
      </c>
      <c r="L32" s="39" t="s">
        <v>438</v>
      </c>
    </row>
    <row r="33" spans="1:13" ht="28.5" x14ac:dyDescent="0.25">
      <c r="A33" s="70" t="s">
        <v>132</v>
      </c>
      <c r="B33" s="70" t="s">
        <v>149</v>
      </c>
      <c r="C33" s="70" t="s">
        <v>150</v>
      </c>
      <c r="D33" s="70" t="s">
        <v>151</v>
      </c>
      <c r="E33" s="64" t="s">
        <v>148</v>
      </c>
      <c r="F33" s="71" t="s">
        <v>44</v>
      </c>
      <c r="G33" s="64" t="s">
        <v>400</v>
      </c>
      <c r="H33" s="63" t="s">
        <v>152</v>
      </c>
      <c r="I33" s="64" t="s">
        <v>153</v>
      </c>
      <c r="J33" s="20" t="s">
        <v>430</v>
      </c>
      <c r="K33" s="20" t="str">
        <f>VLOOKUP(J33,Hoja1!$A$1:$B$5,2,0)</f>
        <v>https://forms.gle/jHH5VjT1WmWcRtWWA</v>
      </c>
      <c r="L33" s="40" t="s">
        <v>469</v>
      </c>
    </row>
    <row r="34" spans="1:13" ht="57" x14ac:dyDescent="0.25">
      <c r="A34" s="70" t="s">
        <v>54</v>
      </c>
      <c r="B34" s="70" t="s">
        <v>154</v>
      </c>
      <c r="C34" s="70" t="s">
        <v>155</v>
      </c>
      <c r="D34" s="70" t="s">
        <v>156</v>
      </c>
      <c r="E34" s="64" t="s">
        <v>157</v>
      </c>
      <c r="F34" s="70" t="s">
        <v>158</v>
      </c>
      <c r="G34" s="64" t="s">
        <v>400</v>
      </c>
      <c r="H34" s="63" t="s">
        <v>152</v>
      </c>
      <c r="I34" s="64" t="s">
        <v>153</v>
      </c>
      <c r="J34" s="20" t="s">
        <v>428</v>
      </c>
      <c r="K34" s="20" t="str">
        <f>VLOOKUP(J34,Hoja1!$A$1:$B$5,2,0)</f>
        <v>https://forms.gle/83kUtEx8hSA39tgy7</v>
      </c>
      <c r="L34" s="40" t="s">
        <v>469</v>
      </c>
    </row>
    <row r="35" spans="1:13" ht="28.5" x14ac:dyDescent="0.25">
      <c r="A35" s="70" t="s">
        <v>18</v>
      </c>
      <c r="B35" s="70" t="s">
        <v>160</v>
      </c>
      <c r="C35" s="70" t="s">
        <v>161</v>
      </c>
      <c r="D35" s="70" t="s">
        <v>162</v>
      </c>
      <c r="E35" s="64" t="s">
        <v>159</v>
      </c>
      <c r="F35" s="64" t="s">
        <v>44</v>
      </c>
      <c r="G35" s="64" t="s">
        <v>401</v>
      </c>
      <c r="H35" s="78" t="s">
        <v>163</v>
      </c>
      <c r="I35" s="64" t="s">
        <v>106</v>
      </c>
      <c r="J35" s="20" t="s">
        <v>428</v>
      </c>
      <c r="K35" s="20" t="str">
        <f>VLOOKUP(J35,Hoja1!$A$1:$B$5,2,0)</f>
        <v>https://forms.gle/83kUtEx8hSA39tgy7</v>
      </c>
      <c r="L35" s="40" t="s">
        <v>437</v>
      </c>
    </row>
    <row r="36" spans="1:13" ht="28.5" x14ac:dyDescent="0.25">
      <c r="A36" s="70" t="s">
        <v>18</v>
      </c>
      <c r="B36" s="70" t="s">
        <v>165</v>
      </c>
      <c r="C36" s="70" t="s">
        <v>166</v>
      </c>
      <c r="D36" s="70" t="s">
        <v>167</v>
      </c>
      <c r="E36" s="72" t="s">
        <v>164</v>
      </c>
      <c r="F36" s="72" t="s">
        <v>142</v>
      </c>
      <c r="G36" s="62" t="s">
        <v>402</v>
      </c>
      <c r="H36" s="63" t="s">
        <v>169</v>
      </c>
      <c r="I36" s="64" t="s">
        <v>106</v>
      </c>
      <c r="J36" s="20" t="s">
        <v>428</v>
      </c>
      <c r="K36" s="20" t="str">
        <f>VLOOKUP(J36,Hoja1!$A$1:$B$5,2,0)</f>
        <v>https://forms.gle/83kUtEx8hSA39tgy7</v>
      </c>
      <c r="L36" s="40" t="s">
        <v>468</v>
      </c>
    </row>
    <row r="37" spans="1:13" ht="57" x14ac:dyDescent="0.25">
      <c r="A37" s="76" t="s">
        <v>10</v>
      </c>
      <c r="B37" s="77" t="s">
        <v>487</v>
      </c>
      <c r="C37" s="76" t="s">
        <v>488</v>
      </c>
      <c r="D37" s="76" t="s">
        <v>489</v>
      </c>
      <c r="E37" s="64" t="s">
        <v>170</v>
      </c>
      <c r="F37" s="64" t="s">
        <v>42</v>
      </c>
      <c r="G37" s="64" t="s">
        <v>403</v>
      </c>
      <c r="H37" s="63" t="s">
        <v>173</v>
      </c>
      <c r="I37" s="64" t="s">
        <v>106</v>
      </c>
      <c r="J37" s="20" t="s">
        <v>428</v>
      </c>
      <c r="K37" s="20" t="str">
        <f>VLOOKUP(J37,Hoja1!$A$1:$B$5,2,0)</f>
        <v>https://forms.gle/83kUtEx8hSA39tgy7</v>
      </c>
      <c r="L37" s="75" t="s">
        <v>467</v>
      </c>
      <c r="M37" s="39" t="s">
        <v>438</v>
      </c>
    </row>
    <row r="38" spans="1:13" ht="71.25" x14ac:dyDescent="0.25">
      <c r="A38" s="72" t="s">
        <v>10</v>
      </c>
      <c r="B38" s="70" t="s">
        <v>175</v>
      </c>
      <c r="C38" s="72" t="s">
        <v>176</v>
      </c>
      <c r="D38" s="72" t="s">
        <v>177</v>
      </c>
      <c r="E38" s="64" t="s">
        <v>174</v>
      </c>
      <c r="F38" s="71" t="s">
        <v>44</v>
      </c>
      <c r="G38" s="64" t="s">
        <v>425</v>
      </c>
      <c r="H38" s="63" t="s">
        <v>178</v>
      </c>
      <c r="I38" s="64" t="s">
        <v>106</v>
      </c>
      <c r="J38" s="20"/>
      <c r="K38" s="20" t="e">
        <f>VLOOKUP(J38,Hoja1!$A$1:$B$5,2,0)</f>
        <v>#N/A</v>
      </c>
      <c r="L38" s="40" t="s">
        <v>466</v>
      </c>
    </row>
    <row r="39" spans="1:13" x14ac:dyDescent="0.25">
      <c r="A39" s="72" t="s">
        <v>10</v>
      </c>
      <c r="B39" s="72" t="s">
        <v>180</v>
      </c>
      <c r="C39" s="72" t="s">
        <v>181</v>
      </c>
      <c r="D39" s="72" t="s">
        <v>182</v>
      </c>
      <c r="E39" s="64" t="s">
        <v>179</v>
      </c>
      <c r="F39" s="72" t="s">
        <v>44</v>
      </c>
      <c r="G39" s="64" t="s">
        <v>404</v>
      </c>
      <c r="H39" s="63" t="s">
        <v>183</v>
      </c>
      <c r="I39" s="64" t="s">
        <v>392</v>
      </c>
      <c r="J39" s="20" t="s">
        <v>430</v>
      </c>
      <c r="K39" s="20" t="str">
        <f>VLOOKUP(J39,Hoja1!$A$1:$B$5,2,0)</f>
        <v>https://forms.gle/jHH5VjT1WmWcRtWWA</v>
      </c>
      <c r="L39" s="40" t="s">
        <v>465</v>
      </c>
    </row>
    <row r="40" spans="1:13" ht="42.75" x14ac:dyDescent="0.25">
      <c r="A40" s="62" t="s">
        <v>10</v>
      </c>
      <c r="B40" s="62" t="s">
        <v>184</v>
      </c>
      <c r="C40" s="62" t="s">
        <v>185</v>
      </c>
      <c r="D40" s="62" t="s">
        <v>100</v>
      </c>
      <c r="E40" s="64" t="s">
        <v>352</v>
      </c>
      <c r="F40" s="64" t="s">
        <v>15</v>
      </c>
      <c r="G40" s="64" t="s">
        <v>405</v>
      </c>
      <c r="H40" s="73" t="s">
        <v>186</v>
      </c>
      <c r="I40" s="64" t="s">
        <v>106</v>
      </c>
      <c r="J40" s="20"/>
      <c r="K40" s="20" t="e">
        <f>VLOOKUP(J40,Hoja1!$A$1:$B$5,2,0)</f>
        <v>#N/A</v>
      </c>
      <c r="L40" s="39" t="s">
        <v>438</v>
      </c>
    </row>
    <row r="41" spans="1:13" ht="57" x14ac:dyDescent="0.25">
      <c r="A41" s="74" t="s">
        <v>10</v>
      </c>
      <c r="B41" s="74" t="s">
        <v>490</v>
      </c>
      <c r="C41" s="74" t="s">
        <v>491</v>
      </c>
      <c r="D41" s="74" t="s">
        <v>492</v>
      </c>
      <c r="E41" s="62" t="s">
        <v>187</v>
      </c>
      <c r="F41" s="62" t="s">
        <v>44</v>
      </c>
      <c r="G41" s="64" t="s">
        <v>406</v>
      </c>
      <c r="H41" s="73" t="s">
        <v>189</v>
      </c>
      <c r="I41" s="64" t="s">
        <v>106</v>
      </c>
      <c r="J41" s="20" t="s">
        <v>430</v>
      </c>
      <c r="K41" s="20" t="str">
        <f>VLOOKUP(J41,Hoja1!$A$1:$B$5,2,0)</f>
        <v>https://forms.gle/jHH5VjT1WmWcRtWWA</v>
      </c>
      <c r="L41" s="53" t="s">
        <v>464</v>
      </c>
      <c r="M41" s="39" t="s">
        <v>438</v>
      </c>
    </row>
    <row r="42" spans="1:13" ht="71.25" x14ac:dyDescent="0.25">
      <c r="A42" s="72" t="s">
        <v>54</v>
      </c>
      <c r="B42" s="70" t="s">
        <v>191</v>
      </c>
      <c r="C42" s="72" t="s">
        <v>192</v>
      </c>
      <c r="D42" s="72" t="s">
        <v>137</v>
      </c>
      <c r="E42" s="64" t="s">
        <v>190</v>
      </c>
      <c r="F42" s="71" t="s">
        <v>142</v>
      </c>
      <c r="G42" s="64" t="s">
        <v>407</v>
      </c>
      <c r="H42" s="63" t="s">
        <v>193</v>
      </c>
      <c r="I42" s="64" t="s">
        <v>106</v>
      </c>
      <c r="J42" s="20" t="s">
        <v>428</v>
      </c>
      <c r="K42" s="20" t="str">
        <f>VLOOKUP(J42,Hoja1!$A$1:$B$5,2,0)</f>
        <v>https://forms.gle/83kUtEx8hSA39tgy7</v>
      </c>
      <c r="L42" s="40" t="s">
        <v>463</v>
      </c>
    </row>
    <row r="43" spans="1:13" ht="28.5" x14ac:dyDescent="0.25">
      <c r="A43" s="70" t="s">
        <v>195</v>
      </c>
      <c r="B43" s="70" t="s">
        <v>196</v>
      </c>
      <c r="C43" s="70" t="s">
        <v>197</v>
      </c>
      <c r="D43" s="70" t="s">
        <v>198</v>
      </c>
      <c r="E43" s="64" t="s">
        <v>194</v>
      </c>
      <c r="F43" s="64" t="s">
        <v>44</v>
      </c>
      <c r="G43" s="64" t="s">
        <v>408</v>
      </c>
      <c r="H43" s="63" t="s">
        <v>199</v>
      </c>
      <c r="I43" s="64" t="s">
        <v>200</v>
      </c>
      <c r="J43" s="20" t="s">
        <v>430</v>
      </c>
      <c r="K43" s="20" t="str">
        <f>VLOOKUP(J43,Hoja1!$A$1:$B$5,2,0)</f>
        <v>https://forms.gle/jHH5VjT1WmWcRtWWA</v>
      </c>
      <c r="L43" s="39" t="s">
        <v>438</v>
      </c>
    </row>
    <row r="44" spans="1:13" ht="57" x14ac:dyDescent="0.25">
      <c r="A44" s="62" t="s">
        <v>195</v>
      </c>
      <c r="B44" s="64" t="s">
        <v>202</v>
      </c>
      <c r="C44" s="62" t="s">
        <v>104</v>
      </c>
      <c r="D44" s="62" t="s">
        <v>203</v>
      </c>
      <c r="E44" s="64" t="s">
        <v>201</v>
      </c>
      <c r="F44" s="62" t="s">
        <v>44</v>
      </c>
      <c r="G44" s="64" t="s">
        <v>409</v>
      </c>
      <c r="H44" s="88" t="s">
        <v>560</v>
      </c>
      <c r="I44" s="64" t="s">
        <v>106</v>
      </c>
      <c r="J44" s="20" t="s">
        <v>428</v>
      </c>
      <c r="K44" s="20" t="str">
        <f>VLOOKUP(J44,Hoja1!$A$1:$B$5,2,0)</f>
        <v>https://forms.gle/83kUtEx8hSA39tgy7</v>
      </c>
      <c r="L44" s="53" t="s">
        <v>462</v>
      </c>
    </row>
    <row r="45" spans="1:13" x14ac:dyDescent="0.25">
      <c r="J45" s="20"/>
      <c r="K45" s="20"/>
      <c r="L45" s="39"/>
    </row>
    <row r="46" spans="1:13" ht="15" x14ac:dyDescent="0.25">
      <c r="J46" s="20"/>
      <c r="K46" s="20"/>
      <c r="L46" s="52"/>
    </row>
    <row r="47" spans="1:13" s="60" customFormat="1" ht="30" x14ac:dyDescent="0.25">
      <c r="A47" s="102" t="s">
        <v>205</v>
      </c>
      <c r="B47" s="102"/>
      <c r="C47" s="102"/>
      <c r="D47" s="102"/>
      <c r="E47" s="102"/>
      <c r="F47" s="102"/>
      <c r="G47" s="102"/>
      <c r="H47" s="102"/>
      <c r="I47" s="102"/>
      <c r="J47" s="26"/>
      <c r="K47" s="26"/>
      <c r="L47" s="61"/>
    </row>
    <row r="48" spans="1:13" x14ac:dyDescent="0.25">
      <c r="A48" s="48"/>
      <c r="B48" s="48"/>
      <c r="C48" s="48"/>
      <c r="D48" s="48"/>
      <c r="E48" s="48"/>
      <c r="F48" s="48"/>
      <c r="G48" s="48"/>
      <c r="H48" s="48"/>
      <c r="I48" s="48"/>
      <c r="J48" s="20"/>
      <c r="K48" s="20"/>
      <c r="L48" s="39"/>
    </row>
    <row r="49" spans="1:12" ht="30" x14ac:dyDescent="0.25">
      <c r="A49" s="58" t="s">
        <v>1</v>
      </c>
      <c r="B49" s="58" t="s">
        <v>2</v>
      </c>
      <c r="C49" s="58" t="s">
        <v>3</v>
      </c>
      <c r="D49" s="58" t="s">
        <v>4</v>
      </c>
      <c r="E49" s="58" t="s">
        <v>5</v>
      </c>
      <c r="F49" s="58" t="s">
        <v>6</v>
      </c>
      <c r="G49" s="58" t="s">
        <v>7</v>
      </c>
      <c r="H49" s="58" t="s">
        <v>8</v>
      </c>
      <c r="I49" s="58" t="s">
        <v>9</v>
      </c>
      <c r="J49" s="20"/>
      <c r="K49" s="20"/>
      <c r="L49" s="39"/>
    </row>
    <row r="50" spans="1:12" ht="57" x14ac:dyDescent="0.25">
      <c r="A50" s="51" t="s">
        <v>10</v>
      </c>
      <c r="B50" s="41" t="s">
        <v>208</v>
      </c>
      <c r="C50" s="51" t="s">
        <v>209</v>
      </c>
      <c r="D50" s="51" t="s">
        <v>210</v>
      </c>
      <c r="E50" s="41" t="s">
        <v>206</v>
      </c>
      <c r="F50" s="41" t="s">
        <v>211</v>
      </c>
      <c r="G50" s="41" t="s">
        <v>382</v>
      </c>
      <c r="H50" s="56" t="s">
        <v>212</v>
      </c>
      <c r="I50" s="41" t="s">
        <v>207</v>
      </c>
      <c r="J50" s="20" t="s">
        <v>428</v>
      </c>
      <c r="K50" s="20" t="str">
        <f>VLOOKUP(J50,Hoja1!$A$1:$B$5,2,0)</f>
        <v>https://forms.gle/83kUtEx8hSA39tgy7</v>
      </c>
      <c r="L50" s="39" t="s">
        <v>461</v>
      </c>
    </row>
    <row r="51" spans="1:12" ht="28.5" x14ac:dyDescent="0.25">
      <c r="A51" s="51" t="s">
        <v>10</v>
      </c>
      <c r="B51" s="41" t="s">
        <v>214</v>
      </c>
      <c r="C51" s="51" t="s">
        <v>188</v>
      </c>
      <c r="D51" s="51" t="s">
        <v>215</v>
      </c>
      <c r="E51" s="41" t="s">
        <v>213</v>
      </c>
      <c r="F51" s="41" t="s">
        <v>216</v>
      </c>
      <c r="G51" s="41" t="s">
        <v>383</v>
      </c>
      <c r="H51" s="42" t="s">
        <v>217</v>
      </c>
      <c r="I51" s="41" t="s">
        <v>207</v>
      </c>
      <c r="J51" s="20" t="s">
        <v>430</v>
      </c>
      <c r="K51" s="20" t="str">
        <f>VLOOKUP(J51,Hoja1!$A$1:$B$5,2,0)</f>
        <v>https://forms.gle/jHH5VjT1WmWcRtWWA</v>
      </c>
      <c r="L51" s="39" t="s">
        <v>438</v>
      </c>
    </row>
    <row r="52" spans="1:12" ht="57" x14ac:dyDescent="0.25">
      <c r="A52" s="51" t="s">
        <v>18</v>
      </c>
      <c r="B52" s="41" t="s">
        <v>219</v>
      </c>
      <c r="C52" s="51" t="s">
        <v>220</v>
      </c>
      <c r="D52" s="51" t="s">
        <v>221</v>
      </c>
      <c r="E52" s="41" t="s">
        <v>222</v>
      </c>
      <c r="F52" s="41" t="s">
        <v>42</v>
      </c>
      <c r="G52" s="41" t="s">
        <v>384</v>
      </c>
      <c r="H52" s="56" t="s">
        <v>218</v>
      </c>
      <c r="I52" s="41" t="s">
        <v>207</v>
      </c>
      <c r="J52" s="20" t="s">
        <v>428</v>
      </c>
      <c r="K52" s="20" t="str">
        <f>VLOOKUP(J52,Hoja1!$A$1:$B$5,2,0)</f>
        <v>https://forms.gle/83kUtEx8hSA39tgy7</v>
      </c>
      <c r="L52" s="39" t="s">
        <v>460</v>
      </c>
    </row>
    <row r="53" spans="1:12" ht="28.5" x14ac:dyDescent="0.25">
      <c r="A53" s="51" t="s">
        <v>10</v>
      </c>
      <c r="B53" s="41" t="s">
        <v>224</v>
      </c>
      <c r="C53" s="51" t="s">
        <v>225</v>
      </c>
      <c r="D53" s="51" t="s">
        <v>226</v>
      </c>
      <c r="E53" s="41" t="s">
        <v>223</v>
      </c>
      <c r="F53" s="41" t="s">
        <v>44</v>
      </c>
      <c r="G53" s="51" t="s">
        <v>385</v>
      </c>
      <c r="H53" s="42" t="s">
        <v>227</v>
      </c>
      <c r="I53" s="41" t="s">
        <v>207</v>
      </c>
      <c r="J53" s="20" t="s">
        <v>428</v>
      </c>
      <c r="K53" s="20" t="str">
        <f>VLOOKUP(J53,Hoja1!$A$1:$B$5,2,0)</f>
        <v>https://forms.gle/83kUtEx8hSA39tgy7</v>
      </c>
      <c r="L53" s="40" t="s">
        <v>437</v>
      </c>
    </row>
    <row r="54" spans="1:12" ht="28.5" x14ac:dyDescent="0.25">
      <c r="A54" s="41" t="s">
        <v>10</v>
      </c>
      <c r="B54" s="41" t="s">
        <v>37</v>
      </c>
      <c r="C54" s="41" t="s">
        <v>229</v>
      </c>
      <c r="D54" s="41" t="s">
        <v>34</v>
      </c>
      <c r="E54" s="41" t="s">
        <v>228</v>
      </c>
      <c r="F54" s="41" t="s">
        <v>44</v>
      </c>
      <c r="G54" s="41" t="s">
        <v>386</v>
      </c>
      <c r="H54" s="42" t="s">
        <v>230</v>
      </c>
      <c r="I54" s="41" t="s">
        <v>207</v>
      </c>
      <c r="J54" s="20" t="s">
        <v>428</v>
      </c>
      <c r="K54" s="20" t="str">
        <f>VLOOKUP(J54,Hoja1!$A$1:$B$5,2,0)</f>
        <v>https://forms.gle/83kUtEx8hSA39tgy7</v>
      </c>
      <c r="L54" s="39" t="s">
        <v>438</v>
      </c>
    </row>
    <row r="55" spans="1:12" ht="28.5" x14ac:dyDescent="0.25">
      <c r="A55" s="41" t="s">
        <v>18</v>
      </c>
      <c r="B55" s="41" t="s">
        <v>231</v>
      </c>
      <c r="C55" s="41" t="s">
        <v>232</v>
      </c>
      <c r="D55" s="41" t="s">
        <v>162</v>
      </c>
      <c r="E55" s="41" t="s">
        <v>351</v>
      </c>
      <c r="F55" s="41" t="s">
        <v>44</v>
      </c>
      <c r="G55" s="41" t="s">
        <v>387</v>
      </c>
      <c r="H55" s="42" t="s">
        <v>233</v>
      </c>
      <c r="I55" s="41" t="s">
        <v>207</v>
      </c>
      <c r="J55" s="20"/>
      <c r="K55" s="20" t="e">
        <f>VLOOKUP(J55,Hoja1!$A$1:$B$5,2,0)</f>
        <v>#N/A</v>
      </c>
      <c r="L55" s="39" t="s">
        <v>438</v>
      </c>
    </row>
    <row r="56" spans="1:12" ht="57" x14ac:dyDescent="0.25">
      <c r="A56" s="51" t="s">
        <v>10</v>
      </c>
      <c r="B56" s="41" t="s">
        <v>235</v>
      </c>
      <c r="C56" s="51" t="s">
        <v>236</v>
      </c>
      <c r="D56" s="51" t="s">
        <v>237</v>
      </c>
      <c r="E56" s="41" t="s">
        <v>234</v>
      </c>
      <c r="F56" s="41" t="s">
        <v>44</v>
      </c>
      <c r="G56" s="41" t="s">
        <v>388</v>
      </c>
      <c r="H56" s="84" t="s">
        <v>561</v>
      </c>
      <c r="I56" s="41" t="s">
        <v>391</v>
      </c>
      <c r="J56" s="20" t="s">
        <v>430</v>
      </c>
      <c r="K56" s="20" t="str">
        <f>VLOOKUP(J56,Hoja1!$A$1:$B$5,2,0)</f>
        <v>https://forms.gle/jHH5VjT1WmWcRtWWA</v>
      </c>
      <c r="L56" s="39" t="s">
        <v>459</v>
      </c>
    </row>
    <row r="57" spans="1:12" ht="71.25" x14ac:dyDescent="0.25">
      <c r="A57" s="54" t="s">
        <v>54</v>
      </c>
      <c r="B57" s="55" t="s">
        <v>240</v>
      </c>
      <c r="C57" s="54" t="s">
        <v>34</v>
      </c>
      <c r="D57" s="54" t="s">
        <v>34</v>
      </c>
      <c r="E57" s="41" t="s">
        <v>239</v>
      </c>
      <c r="F57" s="41" t="s">
        <v>142</v>
      </c>
      <c r="G57" s="41" t="s">
        <v>389</v>
      </c>
      <c r="H57" s="42" t="s">
        <v>241</v>
      </c>
      <c r="I57" s="41" t="s">
        <v>207</v>
      </c>
      <c r="J57" s="20" t="s">
        <v>428</v>
      </c>
      <c r="K57" s="20" t="str">
        <f>VLOOKUP(J57,Hoja1!$A$1:$B$5,2,0)</f>
        <v>https://forms.gle/83kUtEx8hSA39tgy7</v>
      </c>
      <c r="L57" s="53" t="s">
        <v>458</v>
      </c>
    </row>
    <row r="58" spans="1:12" ht="28.5" x14ac:dyDescent="0.25">
      <c r="A58" s="51" t="s">
        <v>10</v>
      </c>
      <c r="B58" s="41" t="s">
        <v>244</v>
      </c>
      <c r="C58" s="51" t="s">
        <v>243</v>
      </c>
      <c r="D58" s="51" t="s">
        <v>245</v>
      </c>
      <c r="E58" s="41" t="s">
        <v>242</v>
      </c>
      <c r="F58" s="41" t="s">
        <v>35</v>
      </c>
      <c r="G58" s="41" t="s">
        <v>390</v>
      </c>
      <c r="H58" s="68" t="s">
        <v>457</v>
      </c>
      <c r="I58" s="41" t="s">
        <v>207</v>
      </c>
      <c r="J58" s="20" t="s">
        <v>435</v>
      </c>
      <c r="K58" s="20" t="e">
        <f>VLOOKUP(J58,Hoja1!$A$1:$B$5,2,0)</f>
        <v>#N/A</v>
      </c>
      <c r="L58" s="39" t="s">
        <v>438</v>
      </c>
    </row>
    <row r="59" spans="1:12" ht="71.25" x14ac:dyDescent="0.25">
      <c r="A59" s="51" t="s">
        <v>10</v>
      </c>
      <c r="B59" s="41" t="s">
        <v>493</v>
      </c>
      <c r="C59" s="51" t="s">
        <v>494</v>
      </c>
      <c r="D59" s="51" t="s">
        <v>495</v>
      </c>
      <c r="E59" s="41" t="s">
        <v>247</v>
      </c>
      <c r="F59" s="41" t="s">
        <v>455</v>
      </c>
      <c r="G59" s="41" t="s">
        <v>426</v>
      </c>
      <c r="H59" s="42" t="s">
        <v>249</v>
      </c>
      <c r="I59" s="41" t="s">
        <v>207</v>
      </c>
      <c r="J59" s="20" t="s">
        <v>428</v>
      </c>
      <c r="K59" s="20" t="str">
        <f>VLOOKUP(J59,Hoja1!$A$1:$B$5,2,0)</f>
        <v>https://forms.gle/83kUtEx8hSA39tgy7</v>
      </c>
      <c r="L59" s="53" t="s">
        <v>456</v>
      </c>
    </row>
    <row r="60" spans="1:12" ht="99.75" x14ac:dyDescent="0.25">
      <c r="J60" s="20"/>
      <c r="K60" s="20"/>
      <c r="L60" s="53" t="s">
        <v>455</v>
      </c>
    </row>
    <row r="61" spans="1:12" x14ac:dyDescent="0.25">
      <c r="J61" s="20"/>
      <c r="K61" s="20"/>
      <c r="L61" s="39"/>
    </row>
    <row r="62" spans="1:12" s="60" customFormat="1" ht="30" x14ac:dyDescent="0.25">
      <c r="A62" s="102" t="s">
        <v>250</v>
      </c>
      <c r="B62" s="102"/>
      <c r="C62" s="102"/>
      <c r="D62" s="102"/>
      <c r="E62" s="102"/>
      <c r="F62" s="102"/>
      <c r="G62" s="102"/>
      <c r="H62" s="102"/>
      <c r="I62" s="102"/>
      <c r="J62" s="26"/>
      <c r="K62" s="26"/>
      <c r="L62" s="61"/>
    </row>
    <row r="63" spans="1:12" x14ac:dyDescent="0.25">
      <c r="A63" s="67"/>
      <c r="B63" s="67"/>
      <c r="C63" s="67"/>
      <c r="D63" s="67"/>
      <c r="E63" s="67"/>
      <c r="F63" s="67"/>
      <c r="G63" s="67"/>
      <c r="H63" s="67"/>
      <c r="I63" s="67"/>
      <c r="J63" s="20"/>
      <c r="K63" s="20"/>
      <c r="L63" s="39"/>
    </row>
    <row r="64" spans="1:12" ht="30" x14ac:dyDescent="0.25">
      <c r="A64" s="66" t="s">
        <v>1</v>
      </c>
      <c r="B64" s="66" t="s">
        <v>2</v>
      </c>
      <c r="C64" s="66" t="s">
        <v>3</v>
      </c>
      <c r="D64" s="66" t="s">
        <v>4</v>
      </c>
      <c r="E64" s="66" t="s">
        <v>5</v>
      </c>
      <c r="F64" s="66" t="s">
        <v>6</v>
      </c>
      <c r="G64" s="66" t="s">
        <v>7</v>
      </c>
      <c r="H64" s="66" t="s">
        <v>251</v>
      </c>
      <c r="I64" s="66" t="s">
        <v>252</v>
      </c>
      <c r="J64" s="20"/>
      <c r="K64" s="20"/>
      <c r="L64" s="39"/>
    </row>
    <row r="65" spans="1:12" ht="42.75" x14ac:dyDescent="0.25">
      <c r="A65" s="62" t="s">
        <v>60</v>
      </c>
      <c r="B65" s="64" t="s">
        <v>254</v>
      </c>
      <c r="C65" s="62" t="s">
        <v>255</v>
      </c>
      <c r="D65" s="62" t="s">
        <v>256</v>
      </c>
      <c r="E65" s="64" t="s">
        <v>253</v>
      </c>
      <c r="F65" s="64" t="s">
        <v>257</v>
      </c>
      <c r="G65" s="64" t="s">
        <v>374</v>
      </c>
      <c r="H65" s="87" t="s">
        <v>562</v>
      </c>
      <c r="I65" s="64" t="s">
        <v>259</v>
      </c>
      <c r="J65" s="20" t="s">
        <v>428</v>
      </c>
      <c r="K65" s="20" t="str">
        <f>VLOOKUP(J65,Hoja1!$A$1:$B$5,2,0)</f>
        <v>https://forms.gle/83kUtEx8hSA39tgy7</v>
      </c>
      <c r="L65" s="39" t="s">
        <v>454</v>
      </c>
    </row>
    <row r="66" spans="1:12" ht="57" x14ac:dyDescent="0.25">
      <c r="A66" s="62" t="s">
        <v>10</v>
      </c>
      <c r="B66" s="64" t="s">
        <v>254</v>
      </c>
      <c r="C66" s="62" t="s">
        <v>41</v>
      </c>
      <c r="D66" s="62" t="s">
        <v>260</v>
      </c>
      <c r="E66" s="64" t="s">
        <v>253</v>
      </c>
      <c r="F66" s="64" t="s">
        <v>44</v>
      </c>
      <c r="G66" s="64" t="s">
        <v>375</v>
      </c>
      <c r="H66" s="87" t="s">
        <v>563</v>
      </c>
      <c r="I66" s="64" t="s">
        <v>259</v>
      </c>
      <c r="J66" s="20" t="s">
        <v>428</v>
      </c>
      <c r="K66" s="20" t="str">
        <f>VLOOKUP(J66,Hoja1!$A$1:$B$5,2,0)</f>
        <v>https://forms.gle/83kUtEx8hSA39tgy7</v>
      </c>
      <c r="L66" s="39" t="s">
        <v>453</v>
      </c>
    </row>
    <row r="67" spans="1:12" ht="71.25" x14ac:dyDescent="0.25">
      <c r="A67" s="62" t="s">
        <v>10</v>
      </c>
      <c r="B67" s="64" t="s">
        <v>263</v>
      </c>
      <c r="C67" s="62" t="s">
        <v>82</v>
      </c>
      <c r="D67" s="62" t="s">
        <v>19</v>
      </c>
      <c r="E67" s="64" t="s">
        <v>262</v>
      </c>
      <c r="F67" s="64" t="s">
        <v>44</v>
      </c>
      <c r="G67" s="64" t="s">
        <v>376</v>
      </c>
      <c r="H67" s="63" t="s">
        <v>264</v>
      </c>
      <c r="I67" s="64" t="s">
        <v>259</v>
      </c>
      <c r="J67" s="20" t="s">
        <v>428</v>
      </c>
      <c r="K67" s="20" t="str">
        <f>VLOOKUP(J67,Hoja1!$A$1:$B$5,2,0)</f>
        <v>https://forms.gle/83kUtEx8hSA39tgy7</v>
      </c>
      <c r="L67" s="40" t="s">
        <v>452</v>
      </c>
    </row>
    <row r="68" spans="1:12" ht="85.5" x14ac:dyDescent="0.25">
      <c r="A68" s="62" t="s">
        <v>18</v>
      </c>
      <c r="B68" s="64" t="s">
        <v>266</v>
      </c>
      <c r="C68" s="62" t="s">
        <v>267</v>
      </c>
      <c r="D68" s="62" t="s">
        <v>268</v>
      </c>
      <c r="E68" s="64" t="s">
        <v>265</v>
      </c>
      <c r="F68" s="64" t="s">
        <v>44</v>
      </c>
      <c r="G68" s="64" t="s">
        <v>377</v>
      </c>
      <c r="H68" s="63" t="s">
        <v>269</v>
      </c>
      <c r="I68" s="64" t="s">
        <v>259</v>
      </c>
      <c r="J68" s="20" t="s">
        <v>428</v>
      </c>
      <c r="K68" s="20" t="str">
        <f>VLOOKUP(J68,Hoja1!$A$1:$B$5,2,0)</f>
        <v>https://forms.gle/83kUtEx8hSA39tgy7</v>
      </c>
      <c r="L68" s="40" t="s">
        <v>451</v>
      </c>
    </row>
    <row r="69" spans="1:12" ht="57" x14ac:dyDescent="0.25">
      <c r="A69" s="62" t="s">
        <v>10</v>
      </c>
      <c r="B69" s="64" t="s">
        <v>271</v>
      </c>
      <c r="C69" s="62" t="s">
        <v>19</v>
      </c>
      <c r="D69" s="62" t="s">
        <v>272</v>
      </c>
      <c r="E69" s="64" t="s">
        <v>270</v>
      </c>
      <c r="F69" s="64" t="s">
        <v>44</v>
      </c>
      <c r="G69" s="64" t="s">
        <v>378</v>
      </c>
      <c r="H69" s="65" t="s">
        <v>381</v>
      </c>
      <c r="I69" s="64" t="s">
        <v>259</v>
      </c>
      <c r="J69" s="20" t="s">
        <v>430</v>
      </c>
      <c r="K69" s="20" t="str">
        <f>VLOOKUP(J69,Hoja1!$A$1:$B$5,2,0)</f>
        <v>https://forms.gle/jHH5VjT1WmWcRtWWA</v>
      </c>
      <c r="L69" s="39" t="s">
        <v>450</v>
      </c>
    </row>
    <row r="70" spans="1:12" ht="57" x14ac:dyDescent="0.25">
      <c r="A70" s="62" t="s">
        <v>274</v>
      </c>
      <c r="B70" s="64" t="s">
        <v>275</v>
      </c>
      <c r="C70" s="62" t="s">
        <v>276</v>
      </c>
      <c r="D70" s="62"/>
      <c r="E70" s="64" t="s">
        <v>273</v>
      </c>
      <c r="F70" s="64" t="s">
        <v>44</v>
      </c>
      <c r="G70" s="64" t="s">
        <v>379</v>
      </c>
      <c r="H70" s="63" t="s">
        <v>277</v>
      </c>
      <c r="I70" s="64" t="s">
        <v>278</v>
      </c>
      <c r="J70" s="20" t="s">
        <v>430</v>
      </c>
      <c r="K70" s="20" t="str">
        <f>VLOOKUP(J70,Hoja1!$A$1:$B$5,2,0)</f>
        <v>https://forms.gle/jHH5VjT1WmWcRtWWA</v>
      </c>
      <c r="L70" s="39" t="s">
        <v>438</v>
      </c>
    </row>
    <row r="71" spans="1:12" ht="45" x14ac:dyDescent="0.25">
      <c r="A71" s="64" t="s">
        <v>68</v>
      </c>
      <c r="B71" s="64" t="s">
        <v>280</v>
      </c>
      <c r="C71" s="64" t="s">
        <v>281</v>
      </c>
      <c r="D71" s="64" t="s">
        <v>282</v>
      </c>
      <c r="E71" s="64" t="s">
        <v>350</v>
      </c>
      <c r="F71" s="64" t="s">
        <v>35</v>
      </c>
      <c r="G71" s="64" t="s">
        <v>380</v>
      </c>
      <c r="H71" s="87" t="s">
        <v>564</v>
      </c>
      <c r="I71" s="62" t="s">
        <v>259</v>
      </c>
      <c r="J71" s="20"/>
      <c r="K71" s="20" t="e">
        <f>VLOOKUP(J71,Hoja1!$A$1:$B$5,2,0)</f>
        <v>#N/A</v>
      </c>
      <c r="L71" s="50" t="s">
        <v>449</v>
      </c>
    </row>
    <row r="72" spans="1:12" x14ac:dyDescent="0.25">
      <c r="J72" s="20"/>
      <c r="K72" s="20"/>
      <c r="L72" s="39"/>
    </row>
    <row r="73" spans="1:12" x14ac:dyDescent="0.25">
      <c r="J73" s="20"/>
      <c r="K73" s="20"/>
      <c r="L73" s="39"/>
    </row>
    <row r="74" spans="1:12" s="60" customFormat="1" ht="30" x14ac:dyDescent="0.25">
      <c r="A74" s="102" t="s">
        <v>283</v>
      </c>
      <c r="B74" s="102"/>
      <c r="C74" s="102"/>
      <c r="D74" s="102"/>
      <c r="E74" s="102"/>
      <c r="F74" s="102"/>
      <c r="G74" s="102"/>
      <c r="H74" s="102"/>
      <c r="I74" s="102"/>
      <c r="J74" s="26"/>
      <c r="K74" s="26"/>
      <c r="L74" s="61"/>
    </row>
    <row r="75" spans="1:12" ht="15" x14ac:dyDescent="0.25">
      <c r="A75" s="59"/>
      <c r="B75" s="48"/>
      <c r="C75" s="48"/>
      <c r="D75" s="48"/>
      <c r="E75" s="48"/>
      <c r="F75" s="48"/>
      <c r="G75" s="48"/>
      <c r="H75" s="48"/>
      <c r="I75" s="48"/>
      <c r="J75" s="20"/>
      <c r="K75" s="20"/>
      <c r="L75" s="39"/>
    </row>
    <row r="76" spans="1:12" ht="30" x14ac:dyDescent="0.25">
      <c r="A76" s="58" t="s">
        <v>1</v>
      </c>
      <c r="B76" s="58" t="s">
        <v>2</v>
      </c>
      <c r="C76" s="58" t="s">
        <v>3</v>
      </c>
      <c r="D76" s="58" t="s">
        <v>4</v>
      </c>
      <c r="E76" s="58" t="s">
        <v>5</v>
      </c>
      <c r="F76" s="58" t="s">
        <v>6</v>
      </c>
      <c r="G76" s="58" t="s">
        <v>7</v>
      </c>
      <c r="H76" s="58" t="s">
        <v>284</v>
      </c>
      <c r="I76" s="58" t="s">
        <v>9</v>
      </c>
      <c r="J76" s="20"/>
      <c r="K76" s="20"/>
      <c r="L76" s="39"/>
    </row>
    <row r="77" spans="1:12" ht="28.5" x14ac:dyDescent="0.25">
      <c r="A77" s="44" t="s">
        <v>10</v>
      </c>
      <c r="B77" s="45" t="s">
        <v>288</v>
      </c>
      <c r="C77" s="44" t="s">
        <v>289</v>
      </c>
      <c r="D77" s="44" t="s">
        <v>20</v>
      </c>
      <c r="E77" s="41" t="s">
        <v>285</v>
      </c>
      <c r="F77" s="41" t="s">
        <v>35</v>
      </c>
      <c r="G77" s="41" t="s">
        <v>355</v>
      </c>
      <c r="H77" s="42" t="s">
        <v>290</v>
      </c>
      <c r="I77" s="41" t="s">
        <v>287</v>
      </c>
      <c r="J77" s="20" t="s">
        <v>428</v>
      </c>
      <c r="K77" s="20" t="str">
        <f>VLOOKUP(J77,Hoja1!$A$1:$B$5,2,0)</f>
        <v>https://forms.gle/83kUtEx8hSA39tgy7</v>
      </c>
      <c r="L77" s="39" t="s">
        <v>438</v>
      </c>
    </row>
    <row r="78" spans="1:12" ht="30" x14ac:dyDescent="0.25">
      <c r="A78" s="41" t="s">
        <v>18</v>
      </c>
      <c r="B78" s="41" t="s">
        <v>292</v>
      </c>
      <c r="C78" s="41" t="s">
        <v>293</v>
      </c>
      <c r="D78" s="41" t="s">
        <v>294</v>
      </c>
      <c r="E78" s="41" t="s">
        <v>291</v>
      </c>
      <c r="F78" s="41" t="s">
        <v>142</v>
      </c>
      <c r="G78" s="41" t="s">
        <v>356</v>
      </c>
      <c r="H78" s="84" t="s">
        <v>448</v>
      </c>
      <c r="I78" s="41" t="s">
        <v>287</v>
      </c>
      <c r="J78" s="20" t="s">
        <v>430</v>
      </c>
      <c r="K78" s="20" t="str">
        <f>VLOOKUP(J78,Hoja1!$A$1:$B$5,2,0)</f>
        <v>https://forms.gle/jHH5VjT1WmWcRtWWA</v>
      </c>
      <c r="L78" s="85" t="s">
        <v>448</v>
      </c>
    </row>
    <row r="79" spans="1:12" ht="28.5" x14ac:dyDescent="0.25">
      <c r="A79" s="41" t="s">
        <v>10</v>
      </c>
      <c r="B79" s="41" t="s">
        <v>139</v>
      </c>
      <c r="C79" s="41" t="s">
        <v>297</v>
      </c>
      <c r="D79" s="41" t="s">
        <v>298</v>
      </c>
      <c r="E79" s="41" t="s">
        <v>296</v>
      </c>
      <c r="F79" s="41" t="s">
        <v>299</v>
      </c>
      <c r="G79" s="45" t="s">
        <v>357</v>
      </c>
      <c r="H79" s="41" t="s">
        <v>373</v>
      </c>
      <c r="I79" s="41" t="s">
        <v>287</v>
      </c>
      <c r="J79" s="20"/>
      <c r="K79" s="20" t="e">
        <f>VLOOKUP(J79,Hoja1!$A$1:$B$5,2,0)</f>
        <v>#N/A</v>
      </c>
      <c r="L79" s="40" t="s">
        <v>437</v>
      </c>
    </row>
    <row r="80" spans="1:12" ht="28.5" x14ac:dyDescent="0.25">
      <c r="A80" s="41" t="s">
        <v>10</v>
      </c>
      <c r="B80" s="41" t="s">
        <v>301</v>
      </c>
      <c r="C80" s="41" t="s">
        <v>237</v>
      </c>
      <c r="D80" s="41" t="s">
        <v>302</v>
      </c>
      <c r="E80" s="41" t="s">
        <v>300</v>
      </c>
      <c r="F80" s="41" t="s">
        <v>44</v>
      </c>
      <c r="G80" s="41" t="s">
        <v>358</v>
      </c>
      <c r="H80" s="42" t="s">
        <v>303</v>
      </c>
      <c r="I80" s="41" t="s">
        <v>287</v>
      </c>
      <c r="J80" s="20" t="s">
        <v>428</v>
      </c>
      <c r="K80" s="20" t="str">
        <f>VLOOKUP(J80,Hoja1!$A$1:$B$5,2,0)</f>
        <v>https://forms.gle/83kUtEx8hSA39tgy7</v>
      </c>
      <c r="L80" s="39" t="s">
        <v>438</v>
      </c>
    </row>
    <row r="81" spans="1:15" ht="57" x14ac:dyDescent="0.25">
      <c r="A81" s="41" t="s">
        <v>60</v>
      </c>
      <c r="B81" s="41" t="s">
        <v>497</v>
      </c>
      <c r="C81" s="41" t="s">
        <v>496</v>
      </c>
      <c r="D81" s="41"/>
      <c r="E81" s="41" t="s">
        <v>305</v>
      </c>
      <c r="F81" s="41" t="s">
        <v>306</v>
      </c>
      <c r="G81" s="41" t="s">
        <v>359</v>
      </c>
      <c r="H81" s="42" t="s">
        <v>446</v>
      </c>
      <c r="I81" s="41" t="s">
        <v>287</v>
      </c>
      <c r="J81" s="20" t="s">
        <v>428</v>
      </c>
      <c r="K81" s="20" t="str">
        <f>VLOOKUP(J81,Hoja1!$A$1:$B$5,2,0)</f>
        <v>https://forms.gle/83kUtEx8hSA39tgy7</v>
      </c>
      <c r="L81" s="53" t="s">
        <v>447</v>
      </c>
      <c r="M81" s="89" t="s">
        <v>446</v>
      </c>
    </row>
    <row r="82" spans="1:15" ht="45" x14ac:dyDescent="0.25">
      <c r="A82" s="41" t="s">
        <v>10</v>
      </c>
      <c r="B82" s="41" t="s">
        <v>498</v>
      </c>
      <c r="C82" s="41" t="s">
        <v>499</v>
      </c>
      <c r="D82" s="41"/>
      <c r="E82" s="41" t="s">
        <v>305</v>
      </c>
      <c r="F82" s="41" t="s">
        <v>309</v>
      </c>
      <c r="G82" s="41" t="s">
        <v>360</v>
      </c>
      <c r="H82" s="84" t="s">
        <v>444</v>
      </c>
      <c r="I82" s="41" t="s">
        <v>287</v>
      </c>
      <c r="J82" s="20" t="s">
        <v>428</v>
      </c>
      <c r="K82" s="20" t="str">
        <f>VLOOKUP(J82,Hoja1!$A$1:$B$5,2,0)</f>
        <v>https://forms.gle/83kUtEx8hSA39tgy7</v>
      </c>
      <c r="L82" s="53" t="s">
        <v>445</v>
      </c>
      <c r="M82" s="89" t="s">
        <v>444</v>
      </c>
      <c r="N82" s="39" t="s">
        <v>443</v>
      </c>
    </row>
    <row r="83" spans="1:15" ht="42.75" x14ac:dyDescent="0.25">
      <c r="A83" s="51" t="s">
        <v>18</v>
      </c>
      <c r="B83" s="41" t="s">
        <v>311</v>
      </c>
      <c r="C83" s="51" t="s">
        <v>312</v>
      </c>
      <c r="D83" s="51" t="s">
        <v>313</v>
      </c>
      <c r="E83" s="41" t="s">
        <v>310</v>
      </c>
      <c r="F83" s="41" t="s">
        <v>44</v>
      </c>
      <c r="G83" s="41" t="s">
        <v>361</v>
      </c>
      <c r="H83" s="56" t="s">
        <v>314</v>
      </c>
      <c r="I83" s="41" t="s">
        <v>287</v>
      </c>
      <c r="J83" s="20" t="s">
        <v>428</v>
      </c>
      <c r="K83" s="20" t="str">
        <f>VLOOKUP(J83,Hoja1!$A$1:$B$5,2,0)</f>
        <v>https://forms.gle/83kUtEx8hSA39tgy7</v>
      </c>
      <c r="L83" s="39" t="s">
        <v>438</v>
      </c>
    </row>
    <row r="84" spans="1:15" ht="28.5" x14ac:dyDescent="0.25">
      <c r="A84" s="51" t="s">
        <v>18</v>
      </c>
      <c r="B84" s="41" t="s">
        <v>317</v>
      </c>
      <c r="C84" s="51" t="s">
        <v>318</v>
      </c>
      <c r="D84" s="51" t="s">
        <v>75</v>
      </c>
      <c r="E84" s="41" t="s">
        <v>315</v>
      </c>
      <c r="F84" s="41" t="s">
        <v>35</v>
      </c>
      <c r="G84" s="41" t="s">
        <v>362</v>
      </c>
      <c r="H84" s="42" t="s">
        <v>319</v>
      </c>
      <c r="I84" s="41" t="s">
        <v>316</v>
      </c>
      <c r="J84" s="20" t="s">
        <v>430</v>
      </c>
      <c r="K84" s="20" t="str">
        <f>VLOOKUP(J84,Hoja1!$A$1:$B$5,2,0)</f>
        <v>https://forms.gle/jHH5VjT1WmWcRtWWA</v>
      </c>
      <c r="L84" s="39" t="s">
        <v>438</v>
      </c>
    </row>
    <row r="85" spans="1:15" ht="99.75" x14ac:dyDescent="0.25">
      <c r="A85" s="54" t="s">
        <v>18</v>
      </c>
      <c r="B85" s="55" t="s">
        <v>483</v>
      </c>
      <c r="C85" s="54" t="s">
        <v>484</v>
      </c>
      <c r="D85" s="54" t="s">
        <v>485</v>
      </c>
      <c r="E85" s="41" t="s">
        <v>320</v>
      </c>
      <c r="F85" s="41" t="s">
        <v>211</v>
      </c>
      <c r="G85" s="41" t="s">
        <v>363</v>
      </c>
      <c r="H85" s="84" t="s">
        <v>486</v>
      </c>
      <c r="I85" s="41" t="s">
        <v>316</v>
      </c>
      <c r="J85" s="20" t="s">
        <v>428</v>
      </c>
      <c r="K85" s="20" t="str">
        <f>VLOOKUP(J85,Hoja1!$A$1:$B$5,2,0)</f>
        <v>https://forms.gle/83kUtEx8hSA39tgy7</v>
      </c>
      <c r="L85" s="53" t="s">
        <v>442</v>
      </c>
      <c r="M85" s="52"/>
    </row>
    <row r="86" spans="1:15" ht="42.75" x14ac:dyDescent="0.25">
      <c r="A86" s="51" t="s">
        <v>18</v>
      </c>
      <c r="B86" s="41" t="s">
        <v>326</v>
      </c>
      <c r="C86" s="51" t="s">
        <v>327</v>
      </c>
      <c r="D86" s="51" t="s">
        <v>328</v>
      </c>
      <c r="E86" s="41" t="s">
        <v>325</v>
      </c>
      <c r="F86" s="41" t="s">
        <v>44</v>
      </c>
      <c r="G86" s="41" t="s">
        <v>364</v>
      </c>
      <c r="H86" s="42" t="s">
        <v>329</v>
      </c>
      <c r="I86" s="41" t="s">
        <v>316</v>
      </c>
      <c r="J86" s="20" t="s">
        <v>428</v>
      </c>
      <c r="K86" s="20" t="str">
        <f>VLOOKUP(J86,Hoja1!$A$1:$B$5,2,0)</f>
        <v>https://forms.gle/83kUtEx8hSA39tgy7</v>
      </c>
      <c r="L86" s="39" t="s">
        <v>438</v>
      </c>
      <c r="M86" s="38" t="s">
        <v>441</v>
      </c>
      <c r="O86" s="52"/>
    </row>
    <row r="87" spans="1:15" ht="28.5" x14ac:dyDescent="0.25">
      <c r="A87" s="51" t="s">
        <v>54</v>
      </c>
      <c r="B87" s="41" t="s">
        <v>331</v>
      </c>
      <c r="C87" s="51" t="s">
        <v>104</v>
      </c>
      <c r="D87" s="51" t="s">
        <v>332</v>
      </c>
      <c r="E87" s="41" t="s">
        <v>330</v>
      </c>
      <c r="F87" s="41" t="s">
        <v>138</v>
      </c>
      <c r="G87" s="41" t="s">
        <v>365</v>
      </c>
      <c r="H87" s="42" t="s">
        <v>333</v>
      </c>
      <c r="I87" s="41" t="s">
        <v>316</v>
      </c>
      <c r="J87" s="20" t="s">
        <v>428</v>
      </c>
      <c r="K87" s="20" t="str">
        <f>VLOOKUP(J87,Hoja1!$A$1:$B$5,2,0)</f>
        <v>https://forms.gle/83kUtEx8hSA39tgy7</v>
      </c>
      <c r="L87" s="39" t="s">
        <v>440</v>
      </c>
    </row>
    <row r="88" spans="1:15" ht="45" x14ac:dyDescent="0.25">
      <c r="A88" s="41" t="s">
        <v>10</v>
      </c>
      <c r="B88" s="41" t="s">
        <v>340</v>
      </c>
      <c r="C88" s="41" t="s">
        <v>341</v>
      </c>
      <c r="D88" s="41"/>
      <c r="E88" s="41" t="s">
        <v>354</v>
      </c>
      <c r="F88" s="41" t="s">
        <v>168</v>
      </c>
      <c r="G88" s="41" t="s">
        <v>366</v>
      </c>
      <c r="H88" s="84" t="s">
        <v>439</v>
      </c>
      <c r="I88" s="41" t="s">
        <v>316</v>
      </c>
      <c r="J88" s="20"/>
      <c r="K88" s="20" t="e">
        <f>VLOOKUP(J88,Hoja1!$A$1:$B$5,2,0)</f>
        <v>#N/A</v>
      </c>
      <c r="L88" s="85" t="s">
        <v>439</v>
      </c>
    </row>
    <row r="89" spans="1:15" x14ac:dyDescent="0.25">
      <c r="A89" s="48"/>
      <c r="B89" s="49"/>
      <c r="C89" s="49"/>
      <c r="D89" s="49"/>
      <c r="E89" s="49"/>
      <c r="F89" s="49"/>
      <c r="G89" s="48"/>
      <c r="H89" s="48"/>
      <c r="I89" s="48"/>
      <c r="J89" s="20"/>
      <c r="K89" s="20"/>
      <c r="L89" s="39"/>
    </row>
    <row r="90" spans="1:15" ht="15" x14ac:dyDescent="0.25">
      <c r="A90" s="47"/>
      <c r="B90" s="47"/>
      <c r="C90" s="47"/>
      <c r="D90" s="47"/>
      <c r="E90" s="47"/>
      <c r="F90" s="47"/>
      <c r="G90" s="47"/>
      <c r="H90" s="47"/>
      <c r="I90" s="47"/>
      <c r="J90" s="20"/>
      <c r="K90" s="20"/>
      <c r="L90" s="39"/>
    </row>
    <row r="91" spans="1:15" ht="30" x14ac:dyDescent="0.25">
      <c r="A91" s="41" t="s">
        <v>54</v>
      </c>
      <c r="B91" s="41" t="s">
        <v>335</v>
      </c>
      <c r="C91" s="41" t="s">
        <v>336</v>
      </c>
      <c r="D91" s="41" t="s">
        <v>337</v>
      </c>
      <c r="E91" s="43" t="s">
        <v>334</v>
      </c>
      <c r="F91" s="41" t="s">
        <v>44</v>
      </c>
      <c r="G91" s="41" t="s">
        <v>367</v>
      </c>
      <c r="H91" s="46" t="s">
        <v>370</v>
      </c>
      <c r="I91" s="41" t="s">
        <v>316</v>
      </c>
      <c r="J91" s="20" t="s">
        <v>431</v>
      </c>
      <c r="K91" s="20" t="str">
        <f>VLOOKUP(J91,Hoja1!$A$1:$B$5,2,0)</f>
        <v>https://forms.gle/ML9Kq1n2aGfQywZ56</v>
      </c>
      <c r="L91" s="39" t="s">
        <v>438</v>
      </c>
    </row>
    <row r="92" spans="1:15" ht="30" x14ac:dyDescent="0.25">
      <c r="A92" s="41" t="s">
        <v>54</v>
      </c>
      <c r="B92" s="41" t="s">
        <v>338</v>
      </c>
      <c r="C92" s="41" t="s">
        <v>75</v>
      </c>
      <c r="D92" s="41" t="s">
        <v>34</v>
      </c>
      <c r="E92" s="43" t="s">
        <v>334</v>
      </c>
      <c r="F92" s="41" t="s">
        <v>35</v>
      </c>
      <c r="G92" s="41" t="s">
        <v>368</v>
      </c>
      <c r="H92" s="42" t="s">
        <v>339</v>
      </c>
      <c r="I92" s="41" t="s">
        <v>316</v>
      </c>
      <c r="J92" s="20" t="s">
        <v>431</v>
      </c>
      <c r="K92" s="20" t="str">
        <f>VLOOKUP(J92,Hoja1!$A$1:$B$5,2,0)</f>
        <v>https://forms.gle/ML9Kq1n2aGfQywZ56</v>
      </c>
      <c r="L92" s="39" t="s">
        <v>438</v>
      </c>
    </row>
    <row r="93" spans="1:15" ht="30" x14ac:dyDescent="0.25">
      <c r="A93" s="44" t="s">
        <v>54</v>
      </c>
      <c r="B93" s="45" t="s">
        <v>344</v>
      </c>
      <c r="C93" s="44" t="s">
        <v>345</v>
      </c>
      <c r="D93" s="44" t="s">
        <v>346</v>
      </c>
      <c r="E93" s="43" t="s">
        <v>343</v>
      </c>
      <c r="F93" s="41" t="s">
        <v>44</v>
      </c>
      <c r="G93" s="41" t="s">
        <v>369</v>
      </c>
      <c r="H93" s="42" t="s">
        <v>347</v>
      </c>
      <c r="I93" s="41" t="s">
        <v>287</v>
      </c>
      <c r="J93" s="20" t="s">
        <v>431</v>
      </c>
      <c r="K93" s="20" t="str">
        <f>VLOOKUP(J93,Hoja1!$A$1:$B$5,2,0)</f>
        <v>https://forms.gle/ML9Kq1n2aGfQywZ56</v>
      </c>
      <c r="L93" s="40" t="s">
        <v>437</v>
      </c>
    </row>
  </sheetData>
  <mergeCells count="5">
    <mergeCell ref="A1:I1"/>
    <mergeCell ref="A22:I22"/>
    <mergeCell ref="A47:I47"/>
    <mergeCell ref="A62:I62"/>
    <mergeCell ref="A74:I74"/>
  </mergeCells>
  <hyperlinks>
    <hyperlink ref="H4" r:id="rId1"/>
    <hyperlink ref="H5" r:id="rId2"/>
    <hyperlink ref="H6" r:id="rId3"/>
    <hyperlink ref="H8" r:id="rId4"/>
    <hyperlink ref="H9" r:id="rId5"/>
    <hyperlink ref="H13" r:id="rId6"/>
    <hyperlink ref="H14" r:id="rId7"/>
    <hyperlink ref="H15" r:id="rId8"/>
    <hyperlink ref="H16" r:id="rId9"/>
    <hyperlink ref="H17" r:id="rId10"/>
    <hyperlink ref="H18" r:id="rId11"/>
    <hyperlink ref="H19" r:id="rId12"/>
    <hyperlink ref="H25" r:id="rId13"/>
    <hyperlink ref="H26" r:id="rId14"/>
    <hyperlink ref="H27" r:id="rId15"/>
    <hyperlink ref="H28" r:id="rId16"/>
    <hyperlink ref="H29" r:id="rId17" display="direcciongeneral@canacotorreon.mx; asistentedireccion@canacotorreon.com.mx;"/>
    <hyperlink ref="H30" r:id="rId18"/>
    <hyperlink ref="H31" r:id="rId19"/>
    <hyperlink ref="H32" r:id="rId20"/>
    <hyperlink ref="H36" r:id="rId21"/>
    <hyperlink ref="H37" r:id="rId22"/>
    <hyperlink ref="H38" r:id="rId23"/>
    <hyperlink ref="H39" r:id="rId24"/>
    <hyperlink ref="H40" r:id="rId25"/>
    <hyperlink ref="H41" r:id="rId26"/>
    <hyperlink ref="H42" r:id="rId27"/>
    <hyperlink ref="H43" r:id="rId28"/>
    <hyperlink ref="H44" r:id="rId29"/>
    <hyperlink ref="H51" r:id="rId30"/>
    <hyperlink ref="H53" r:id="rId31"/>
    <hyperlink ref="H54" r:id="rId32"/>
    <hyperlink ref="H55" r:id="rId33"/>
    <hyperlink ref="H57" r:id="rId34"/>
    <hyperlink ref="H58" r:id="rId35"/>
    <hyperlink ref="H59" r:id="rId36"/>
    <hyperlink ref="H65" r:id="rId37"/>
    <hyperlink ref="H66" r:id="rId38"/>
    <hyperlink ref="H67" r:id="rId39"/>
    <hyperlink ref="H68" r:id="rId40"/>
    <hyperlink ref="H70" r:id="rId41"/>
    <hyperlink ref="H71" r:id="rId42"/>
    <hyperlink ref="H78" r:id="rId43"/>
    <hyperlink ref="H84" r:id="rId44"/>
    <hyperlink ref="H85" r:id="rId45"/>
    <hyperlink ref="H86" r:id="rId46"/>
    <hyperlink ref="H91" r:id="rId47"/>
    <hyperlink ref="H92" r:id="rId48"/>
    <hyperlink ref="H88" r:id="rId49"/>
    <hyperlink ref="H93" r:id="rId50"/>
    <hyperlink ref="L78" r:id="rId51"/>
    <hyperlink ref="L88" r:id="rId52"/>
    <hyperlink ref="L71" r:id="rId53"/>
    <hyperlink ref="M81" r:id="rId54"/>
    <hyperlink ref="M82" r:id="rId55"/>
    <hyperlink ref="L17" r:id="rId56"/>
    <hyperlink ref="H56" r:id="rId57"/>
    <hyperlink ref="H82" r:id="rId58"/>
  </hyperlinks>
  <printOptions horizontalCentered="1" verticalCentered="1"/>
  <pageMargins left="0.43307086614173229" right="0.43307086614173229" top="0.23622047244094491" bottom="0.23622047244094491" header="0" footer="0"/>
  <pageSetup scale="55" orientation="landscape" r:id="rId59"/>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M59"/>
  <sheetViews>
    <sheetView workbookViewId="0">
      <selection activeCell="D2" sqref="D2"/>
    </sheetView>
  </sheetViews>
  <sheetFormatPr baseColWidth="10" defaultRowHeight="15" x14ac:dyDescent="0.25"/>
  <sheetData>
    <row r="1" spans="1:13" ht="45" x14ac:dyDescent="0.25">
      <c r="A1" t="s">
        <v>436</v>
      </c>
      <c r="B1" s="17" t="s">
        <v>1</v>
      </c>
      <c r="C1" s="17" t="s">
        <v>2</v>
      </c>
      <c r="D1" s="17" t="s">
        <v>4</v>
      </c>
      <c r="E1" s="17" t="s">
        <v>3</v>
      </c>
      <c r="F1" s="17" t="s">
        <v>5</v>
      </c>
      <c r="G1" s="17" t="s">
        <v>6</v>
      </c>
      <c r="H1" s="17" t="s">
        <v>7</v>
      </c>
      <c r="I1" s="17" t="s">
        <v>8</v>
      </c>
      <c r="J1" s="17" t="s">
        <v>9</v>
      </c>
      <c r="K1" s="17" t="s">
        <v>433</v>
      </c>
      <c r="L1" s="17" t="s">
        <v>434</v>
      </c>
      <c r="M1" s="86" t="s">
        <v>500</v>
      </c>
    </row>
    <row r="2" spans="1:13" x14ac:dyDescent="0.25">
      <c r="A2">
        <v>1</v>
      </c>
      <c r="B2" t="str">
        <f>'5 regiones (3)'!A4</f>
        <v>LIC.</v>
      </c>
      <c r="C2" t="str">
        <f>'5 regiones (3)'!B4</f>
        <v>MÓNICA ROCÍO</v>
      </c>
      <c r="D2" t="str">
        <f>'5 regiones (3)'!C4</f>
        <v>VILLARREAL</v>
      </c>
      <c r="E2" t="str">
        <f>'5 regiones (3)'!D4</f>
        <v>SAUCEDA</v>
      </c>
      <c r="F2" t="str">
        <f>'5 regiones (3)'!E4</f>
        <v>ASOCIACION DE INDUSTRIALES Y EMPRESARIOS DE RAMOS ARIZPE,  A.C.</v>
      </c>
      <c r="G2" t="str">
        <f>'5 regiones (3)'!F4</f>
        <v>DIRECTORA GENERAL</v>
      </c>
      <c r="H2" t="str">
        <f>'5 regiones (3)'!G4</f>
        <v>844 134 8794
844 134 8795
844 488 4411
C. 844 277 3181</v>
      </c>
      <c r="I2" t="str">
        <f>'5 regiones (3)'!H4</f>
        <v>monica.villarreal@aiera.org.mx; monica.herandez@aiera.org.mx</v>
      </c>
      <c r="J2" t="str">
        <f>'5 regiones (3)'!I4</f>
        <v>Ramos Arizpe</v>
      </c>
      <c r="K2" t="str">
        <f>'5 regiones (3)'!J4</f>
        <v>Empresas</v>
      </c>
      <c r="L2" t="str">
        <f>'5 regiones (3)'!K4</f>
        <v>https://forms.gle/83kUtEx8hSA39tgy7</v>
      </c>
      <c r="M2" t="s">
        <v>501</v>
      </c>
    </row>
    <row r="3" spans="1:13" x14ac:dyDescent="0.25">
      <c r="A3">
        <v>2</v>
      </c>
      <c r="B3" t="str">
        <f>'5 regiones (3)'!A5</f>
        <v>MTRA.</v>
      </c>
      <c r="C3" t="str">
        <f>'5 regiones (3)'!B5</f>
        <v>CYNTHIA</v>
      </c>
      <c r="D3" t="str">
        <f>'5 regiones (3)'!C5</f>
        <v>ARRAZOLA</v>
      </c>
      <c r="E3" t="str">
        <f>'5 regiones (3)'!D5</f>
        <v>OLLERVIDES</v>
      </c>
      <c r="F3" t="str">
        <f>'5 regiones (3)'!E5</f>
        <v>CAMARA NACIONAL DE LA INDUSTRIA DE LA TRANSFORMACION DELEGACION COAHUILA SURESTE</v>
      </c>
      <c r="G3" t="str">
        <f>'5 regiones (3)'!F5</f>
        <v>DIRECTOR GENERAL</v>
      </c>
      <c r="H3" t="str">
        <f>'5 regiones (3)'!G5</f>
        <v>844 415 7222
C. 844 129 9760</v>
      </c>
      <c r="I3" t="str">
        <f>'5 regiones (3)'!H5</f>
        <v xml:space="preserve">cyarrazola@canacintra-saltillo.org.mx; </v>
      </c>
      <c r="J3" t="str">
        <f>'5 regiones (3)'!I5</f>
        <v>Saltillo</v>
      </c>
      <c r="K3" t="str">
        <f>'5 regiones (3)'!J5</f>
        <v>Empresas</v>
      </c>
      <c r="L3" t="str">
        <f>'5 regiones (3)'!K5</f>
        <v>https://forms.gle/83kUtEx8hSA39tgy7</v>
      </c>
      <c r="M3" t="s">
        <v>502</v>
      </c>
    </row>
    <row r="4" spans="1:13" x14ac:dyDescent="0.25">
      <c r="A4">
        <v>3</v>
      </c>
      <c r="B4" t="str">
        <f>'5 regiones (3)'!A6</f>
        <v>ING.</v>
      </c>
      <c r="C4" t="str">
        <f>'5 regiones (3)'!B6</f>
        <v>CATALINA</v>
      </c>
      <c r="D4" t="str">
        <f>'5 regiones (3)'!C6</f>
        <v>NIÑO</v>
      </c>
      <c r="E4" t="str">
        <f>'5 regiones (3)'!D6</f>
        <v>RODRÍGUEZ</v>
      </c>
      <c r="F4" t="str">
        <f>'5 regiones (3)'!E6</f>
        <v xml:space="preserve">CAMARA MEXICANA DE LA INDUSTRIA DE LA CONSTRUCCION DELEGACION COAHUILA SURESTE </v>
      </c>
      <c r="G4" t="str">
        <f>'5 regiones (3)'!F6</f>
        <v>GERENTE</v>
      </c>
      <c r="H4" t="str">
        <f>'5 regiones (3)'!G6</f>
        <v>844 415 1541
C. 844 359 8582</v>
      </c>
      <c r="I4" t="str">
        <f>'5 regiones (3)'!H6</f>
        <v>cmicsaltillo@live.com.mx;</v>
      </c>
      <c r="J4" t="str">
        <f>'5 regiones (3)'!I6</f>
        <v>Saltillo</v>
      </c>
      <c r="K4" t="str">
        <f>'5 regiones (3)'!J6</f>
        <v>Empresas</v>
      </c>
      <c r="L4" t="str">
        <f>'5 regiones (3)'!K6</f>
        <v>https://forms.gle/83kUtEx8hSA39tgy7</v>
      </c>
      <c r="M4" t="s">
        <v>503</v>
      </c>
    </row>
    <row r="5" spans="1:13" x14ac:dyDescent="0.25">
      <c r="A5">
        <v>4</v>
      </c>
      <c r="B5" t="str">
        <f>'5 regiones (3)'!A7</f>
        <v>ING.</v>
      </c>
      <c r="C5" t="str">
        <f>'5 regiones (3)'!B7</f>
        <v>CÉSAR ARMANDO</v>
      </c>
      <c r="D5" t="str">
        <f>'5 regiones (3)'!C7</f>
        <v>VALDÉS</v>
      </c>
      <c r="E5" t="str">
        <f>'5 regiones (3)'!D7</f>
        <v>RAMOS</v>
      </c>
      <c r="F5" t="str">
        <f>'5 regiones (3)'!E7</f>
        <v>CAMARA NACIONAL DE COMERCIO, SERVICIOS Y TURISMO DE SALTILLO / FECADECO</v>
      </c>
      <c r="G5" t="str">
        <f>'5 regiones (3)'!F7</f>
        <v>DIRECTOR</v>
      </c>
      <c r="H5" t="str">
        <f>'5 regiones (3)'!G7</f>
        <v>844 134 5390 al 93
844 415 5611
C. 844 427 8427</v>
      </c>
      <c r="I5" t="str">
        <f>'5 regiones (3)'!H7</f>
        <v>direccion@canacosaltillo.com.mx; asistentedireccion@canacosaltillo.com.mx;</v>
      </c>
      <c r="J5" t="str">
        <f>'5 regiones (3)'!I7</f>
        <v>Saltillo</v>
      </c>
      <c r="K5" t="str">
        <f>'5 regiones (3)'!J7</f>
        <v>Comerciantes</v>
      </c>
      <c r="L5" t="str">
        <f>'5 regiones (3)'!K7</f>
        <v>https://forms.gle/jHH5VjT1WmWcRtWWA</v>
      </c>
      <c r="M5" t="s">
        <v>504</v>
      </c>
    </row>
    <row r="6" spans="1:13" x14ac:dyDescent="0.25">
      <c r="A6">
        <v>5</v>
      </c>
      <c r="B6" t="str">
        <f>'5 regiones (3)'!A8</f>
        <v>LIC.</v>
      </c>
      <c r="C6" t="str">
        <f>'5 regiones (3)'!B8</f>
        <v xml:space="preserve">LUIS </v>
      </c>
      <c r="D6" t="str">
        <f>'5 regiones (3)'!C8</f>
        <v>TORRES</v>
      </c>
      <c r="E6" t="str">
        <f>'5 regiones (3)'!D8</f>
        <v xml:space="preserve">ARZUAGA </v>
      </c>
      <c r="F6" t="str">
        <f>'5 regiones (3)'!E8</f>
        <v>CAMARA NACIONAL DE LA INDUSTRIA DE RESTAURANTES Y ALIMENTOS CONDIMENTADOS SALTILLO</v>
      </c>
      <c r="G6" t="str">
        <f>'5 regiones (3)'!F8</f>
        <v>DIRECCION</v>
      </c>
      <c r="H6" t="str">
        <f>'5 regiones (3)'!G8</f>
        <v>844 415 5038
C. 844 362 7070
C. 844 427 1270</v>
      </c>
      <c r="I6" t="str">
        <f>'5 regiones (3)'!H8</f>
        <v>contacto@caniracsaltillo.mx</v>
      </c>
      <c r="J6" t="str">
        <f>'5 regiones (3)'!I8</f>
        <v>Saltillo</v>
      </c>
      <c r="K6" t="str">
        <f>'5 regiones (3)'!J8</f>
        <v>Empresas</v>
      </c>
      <c r="L6" t="str">
        <f>'5 regiones (3)'!K8</f>
        <v>https://forms.gle/83kUtEx8hSA39tgy7</v>
      </c>
      <c r="M6" t="s">
        <v>505</v>
      </c>
    </row>
    <row r="7" spans="1:13" x14ac:dyDescent="0.25">
      <c r="A7">
        <v>6</v>
      </c>
      <c r="B7" t="str">
        <f>'5 regiones (3)'!A9</f>
        <v>LIC.</v>
      </c>
      <c r="C7" t="str">
        <f>'5 regiones (3)'!B9</f>
        <v>LORENA</v>
      </c>
      <c r="D7" t="str">
        <f>'5 regiones (3)'!C9</f>
        <v>RODRÍGUEZ</v>
      </c>
      <c r="F7" t="str">
        <f>'5 regiones (3)'!E9</f>
        <v>CANADEVI COAHUILA</v>
      </c>
      <c r="G7" t="str">
        <f>'5 regiones (3)'!F9</f>
        <v>GERENTE</v>
      </c>
      <c r="H7" t="str">
        <f>'5 regiones (3)'!G9</f>
        <v>C. 811 020 4673</v>
      </c>
      <c r="I7" t="str">
        <f>'5 regiones (3)'!H9</f>
        <v>coahuila@canadevi.com.mx;</v>
      </c>
      <c r="J7" t="str">
        <f>'5 regiones (3)'!I9</f>
        <v>Saltillo</v>
      </c>
      <c r="K7" t="str">
        <f>'5 regiones (3)'!J9</f>
        <v>Empresas</v>
      </c>
      <c r="L7" t="str">
        <f>'5 regiones (3)'!K9</f>
        <v>https://forms.gle/83kUtEx8hSA39tgy7</v>
      </c>
      <c r="M7" t="s">
        <v>506</v>
      </c>
    </row>
    <row r="8" spans="1:13" x14ac:dyDescent="0.25">
      <c r="A8">
        <v>7</v>
      </c>
      <c r="B8" t="str">
        <f>'5 regiones (3)'!A10</f>
        <v>ING.</v>
      </c>
      <c r="C8" t="str">
        <f>'5 regiones (3)'!B10</f>
        <v>MIGUEL</v>
      </c>
      <c r="D8" t="str">
        <f>'5 regiones (3)'!C10</f>
        <v>MONROY</v>
      </c>
      <c r="E8" t="str">
        <f>'5 regiones (3)'!D10</f>
        <v>ROBLES</v>
      </c>
      <c r="F8" t="str">
        <f>'5 regiones (3)'!E10</f>
        <v>COPARMEX COAHUILA SURESTE</v>
      </c>
      <c r="G8" t="str">
        <f>'5 regiones (3)'!F10</f>
        <v>DIRECTOR</v>
      </c>
      <c r="H8" t="str">
        <f>'5 regiones (3)'!G10</f>
        <v>844 415 3412
844 416 2307
844 416 2310
844 415 8941
C. 844 196 9617</v>
      </c>
      <c r="I8" t="str">
        <f>'5 regiones (3)'!H10</f>
        <v>mmonroy@coparmexcoahuila.org.mx; direccion@coparmexcoahuila.org.mx;</v>
      </c>
      <c r="J8" t="str">
        <f>'5 regiones (3)'!I10</f>
        <v>Saltillo</v>
      </c>
      <c r="K8" t="str">
        <f>'5 regiones (3)'!J10</f>
        <v>Empresas</v>
      </c>
      <c r="L8" t="str">
        <f>'5 regiones (3)'!K10</f>
        <v>https://forms.gle/83kUtEx8hSA39tgy7</v>
      </c>
      <c r="M8" t="s">
        <v>507</v>
      </c>
    </row>
    <row r="9" spans="1:13" x14ac:dyDescent="0.25">
      <c r="A9">
        <v>8</v>
      </c>
      <c r="B9" t="str">
        <f>'5 regiones (3)'!A11</f>
        <v>SR.</v>
      </c>
      <c r="C9" t="str">
        <f>'5 regiones (3)'!B11</f>
        <v>JUAN MANUEL</v>
      </c>
      <c r="D9" t="str">
        <f>'5 regiones (3)'!C11</f>
        <v>RAMOS</v>
      </c>
      <c r="E9" t="str">
        <f>'5 regiones (3)'!D11</f>
        <v>CANTÚ</v>
      </c>
      <c r="F9" t="str">
        <f>'5 regiones (3)'!E11</f>
        <v>CANACAR</v>
      </c>
      <c r="G9" t="str">
        <f>'5 regiones (3)'!F11</f>
        <v xml:space="preserve">DELEGADO </v>
      </c>
      <c r="H9" t="str">
        <f>'5 regiones (3)'!G11</f>
        <v>844 906 0357</v>
      </c>
      <c r="I9" t="str">
        <f>'5 regiones (3)'!H11</f>
        <v>saltillo@canacar.com.mx; delegado.saltillo@canacar.com.mx</v>
      </c>
      <c r="J9" t="str">
        <f>'5 regiones (3)'!I11</f>
        <v>Saltillo</v>
      </c>
      <c r="K9" t="str">
        <f>'5 regiones (3)'!J11</f>
        <v xml:space="preserve">Transportistas </v>
      </c>
      <c r="L9" t="str">
        <f>'5 regiones (3)'!K11</f>
        <v>https://forms.gle/6MtmXcSL3NRdJKFf7</v>
      </c>
      <c r="M9" t="s">
        <v>508</v>
      </c>
    </row>
    <row r="10" spans="1:13" x14ac:dyDescent="0.25">
      <c r="A10">
        <v>9</v>
      </c>
      <c r="B10" t="str">
        <f>'5 regiones (3)'!A12</f>
        <v>SR.</v>
      </c>
      <c r="C10" t="str">
        <f>'5 regiones (3)'!B12</f>
        <v>CARLOS JOSÉ</v>
      </c>
      <c r="D10" t="str">
        <f>'5 regiones (3)'!C12</f>
        <v>RAMOS</v>
      </c>
      <c r="E10" t="str">
        <f>'5 regiones (3)'!D12</f>
        <v>AGUIRRE</v>
      </c>
      <c r="F10" t="str">
        <f>'5 regiones (3)'!E12</f>
        <v>CANACAR</v>
      </c>
      <c r="G10" t="str">
        <f>'5 regiones (3)'!F12</f>
        <v>GERENTE</v>
      </c>
      <c r="H10" t="str">
        <f>'5 regiones (3)'!G12</f>
        <v>844 906 0357</v>
      </c>
      <c r="I10" t="str">
        <f>'5 regiones (3)'!H12</f>
        <v>saltillo@canacar.com.mx; delegado.saltillo@canacar.com.mx;</v>
      </c>
      <c r="J10" t="str">
        <f>'5 regiones (3)'!I12</f>
        <v>Saltillo</v>
      </c>
      <c r="K10" t="str">
        <f>'5 regiones (3)'!J12</f>
        <v xml:space="preserve">Transportistas </v>
      </c>
      <c r="L10" t="str">
        <f>'5 regiones (3)'!K12</f>
        <v>https://forms.gle/6MtmXcSL3NRdJKFf7</v>
      </c>
      <c r="M10" t="s">
        <v>509</v>
      </c>
    </row>
    <row r="11" spans="1:13" x14ac:dyDescent="0.25">
      <c r="A11">
        <v>10</v>
      </c>
      <c r="B11" t="str">
        <f>'5 regiones (3)'!A13</f>
        <v xml:space="preserve">ING. </v>
      </c>
      <c r="C11" t="str">
        <f>'5 regiones (3)'!B13</f>
        <v>JOSE ANTONIO</v>
      </c>
      <c r="D11" t="str">
        <f>'5 regiones (3)'!C13</f>
        <v>RODRÍGUEZ</v>
      </c>
      <c r="E11" t="str">
        <f>'5 regiones (3)'!D13</f>
        <v>FUENTES</v>
      </c>
      <c r="F11" t="str">
        <f>'5 regiones (3)'!E13</f>
        <v>CÁMARA DE LA PROPIEDAD INMOBILIARIA COAHUILA SURESTE A.C. (CAPI)</v>
      </c>
      <c r="G11" t="str">
        <f>'5 regiones (3)'!F13</f>
        <v>PRESIDENTE</v>
      </c>
      <c r="H11" t="str">
        <f>'5 regiones (3)'!G13</f>
        <v>844 427 09 33</v>
      </c>
      <c r="I11" t="str">
        <f>'5 regiones (3)'!H13</f>
        <v>arrenda.saltillo@gmail.com</v>
      </c>
      <c r="J11" t="str">
        <f>'5 regiones (3)'!I13</f>
        <v>Saltillo</v>
      </c>
      <c r="K11" t="str">
        <f>'5 regiones (3)'!J13</f>
        <v>Empresas</v>
      </c>
      <c r="L11" t="str">
        <f>'5 regiones (3)'!K13</f>
        <v>https://forms.gle/83kUtEx8hSA39tgy7</v>
      </c>
      <c r="M11" t="s">
        <v>510</v>
      </c>
    </row>
    <row r="12" spans="1:13" x14ac:dyDescent="0.25">
      <c r="A12">
        <v>11</v>
      </c>
      <c r="B12" t="str">
        <f>'5 regiones (3)'!A14</f>
        <v>ING.</v>
      </c>
      <c r="C12" t="str">
        <f>'5 regiones (3)'!B14</f>
        <v>LUIS GILBERTO</v>
      </c>
      <c r="D12" t="str">
        <f>'5 regiones (3)'!C14</f>
        <v>GONZÁLEZ</v>
      </c>
      <c r="E12" t="str">
        <f>'5 regiones (3)'!D14</f>
        <v>AROCHA</v>
      </c>
      <c r="F12" t="str">
        <f>'5 regiones (3)'!E14</f>
        <v>ASOCIACIÓN MEXICANA DE HOTELES Y MOTELES DE COAHUILA</v>
      </c>
      <c r="G12" t="str">
        <f>'5 regiones (3)'!F14</f>
        <v>PRESIDENTE</v>
      </c>
      <c r="H12" t="str">
        <f>'5 regiones (3)'!G14</f>
        <v>869 696 0667
866 112 3438
844 416 6636
844 134 5138
Asoc. 844 415 3107</v>
      </c>
      <c r="I12" t="str">
        <f>'5 regiones (3)'!H14</f>
        <v>dmcdecoah@hotmail.com</v>
      </c>
      <c r="J12" t="str">
        <f>'5 regiones (3)'!I14</f>
        <v xml:space="preserve">Monclova </v>
      </c>
      <c r="K12" t="str">
        <f>'5 regiones (3)'!J14</f>
        <v>Empresas</v>
      </c>
      <c r="L12" t="str">
        <f>'5 regiones (3)'!K14</f>
        <v>https://forms.gle/83kUtEx8hSA39tgy7</v>
      </c>
      <c r="M12" t="s">
        <v>511</v>
      </c>
    </row>
    <row r="13" spans="1:13" x14ac:dyDescent="0.25">
      <c r="A13">
        <v>12</v>
      </c>
      <c r="B13" t="str">
        <f>'5 regiones (3)'!A15</f>
        <v>DR.</v>
      </c>
      <c r="C13" t="str">
        <f>'5 regiones (3)'!B15</f>
        <v>ROGELIO</v>
      </c>
      <c r="D13" t="str">
        <f>'5 regiones (3)'!C15</f>
        <v>MONTEMAYOR</v>
      </c>
      <c r="E13" t="str">
        <f>'5 regiones (3)'!D15</f>
        <v>SEGUY</v>
      </c>
      <c r="F13" t="str">
        <f>'5 regiones (3)'!E15</f>
        <v>CLÚSTER DE ENERGIA COAHUILA, A.C.</v>
      </c>
      <c r="G13" t="str">
        <f>'5 regiones (3)'!F15</f>
        <v>PRESIDENTE</v>
      </c>
      <c r="H13" t="str">
        <f>'5 regiones (3)'!G15</f>
        <v>844 415 2720
844 415 2787</v>
      </c>
      <c r="I13" t="str">
        <f>'5 regiones (3)'!H15</f>
        <v>presidencia@clusterenergia.org;</v>
      </c>
      <c r="J13" t="str">
        <f>'5 regiones (3)'!I15</f>
        <v>Saltillo</v>
      </c>
      <c r="K13" t="str">
        <f>'5 regiones (3)'!J15</f>
        <v>Empresas</v>
      </c>
      <c r="L13" t="str">
        <f>'5 regiones (3)'!K15</f>
        <v>https://forms.gle/83kUtEx8hSA39tgy7</v>
      </c>
      <c r="M13" t="s">
        <v>512</v>
      </c>
    </row>
    <row r="14" spans="1:13" x14ac:dyDescent="0.25">
      <c r="A14">
        <v>13</v>
      </c>
      <c r="B14" t="str">
        <f>'5 regiones (3)'!A18</f>
        <v>ING.</v>
      </c>
      <c r="C14" t="str">
        <f>'5 regiones (3)'!B18</f>
        <v>RICARDO</v>
      </c>
      <c r="D14" t="str">
        <f>'5 regiones (3)'!C18</f>
        <v>SALDIVAR</v>
      </c>
      <c r="E14" t="str">
        <f>'5 regiones (3)'!D18</f>
        <v>DÁVILA</v>
      </c>
      <c r="F14" t="str">
        <f>'5 regiones (3)'!E18</f>
        <v xml:space="preserve">VINOS DE COAHUILA PROVICO, A.C. </v>
      </c>
      <c r="G14" t="str">
        <f>'5 regiones (3)'!F18</f>
        <v>GERENTE</v>
      </c>
      <c r="H14" t="str">
        <f>'5 regiones (3)'!G18</f>
        <v>844 280 0021
844 485 4698
C. 844 280 0021</v>
      </c>
      <c r="I14" t="str">
        <f>'5 regiones (3)'!H18</f>
        <v xml:space="preserve">comitevitivinicoladecoahuila@gmail.com; </v>
      </c>
      <c r="J14" t="str">
        <f>'5 regiones (3)'!I18</f>
        <v>Saltillo</v>
      </c>
      <c r="K14" t="str">
        <f>'5 regiones (3)'!J18</f>
        <v>Empresas</v>
      </c>
      <c r="L14" t="str">
        <f>'5 regiones (3)'!K18</f>
        <v>https://forms.gle/83kUtEx8hSA39tgy7</v>
      </c>
      <c r="M14" t="s">
        <v>513</v>
      </c>
    </row>
    <row r="15" spans="1:13" x14ac:dyDescent="0.25">
      <c r="A15">
        <v>14</v>
      </c>
      <c r="B15" t="str">
        <f>'5 regiones (3)'!A19</f>
        <v>ING.</v>
      </c>
      <c r="C15" t="str">
        <f>'5 regiones (3)'!B19</f>
        <v>HECTOR</v>
      </c>
      <c r="D15" t="str">
        <f>'5 regiones (3)'!C19</f>
        <v xml:space="preserve">MEDRANO </v>
      </c>
      <c r="E15" t="str">
        <f>'5 regiones (3)'!D19</f>
        <v>FLORES</v>
      </c>
      <c r="F15" t="str">
        <f>'5 regiones (3)'!E19</f>
        <v>CAMARA NACIONAL DEL ALUMINIO</v>
      </c>
      <c r="G15" t="str">
        <f>'5 regiones (3)'!F19</f>
        <v>DELEGADO EN COAHUILA</v>
      </c>
      <c r="H15" t="str">
        <f>'5 regiones (3)'!G19</f>
        <v>844 285 9881
844 415 3614</v>
      </c>
      <c r="I15" t="str">
        <f>'5 regiones (3)'!H19</f>
        <v>juridico@cactusvalley.com.mx; hmedranof@cactusvalley.com.mx;</v>
      </c>
      <c r="J15" t="str">
        <f>'5 regiones (3)'!I19</f>
        <v>Saltillo</v>
      </c>
      <c r="K15" t="str">
        <f>'5 regiones (3)'!J19</f>
        <v>Empresas</v>
      </c>
      <c r="L15" t="str">
        <f>'5 regiones (3)'!K19</f>
        <v>https://forms.gle/83kUtEx8hSA39tgy7</v>
      </c>
      <c r="M15" t="s">
        <v>514</v>
      </c>
    </row>
    <row r="16" spans="1:13" x14ac:dyDescent="0.25">
      <c r="A16">
        <v>15</v>
      </c>
      <c r="B16" t="str">
        <f>'5 regiones (3)'!A25</f>
        <v>LIC.</v>
      </c>
      <c r="C16" t="str">
        <f>'5 regiones (3)'!B25</f>
        <v>ALEJANDRA</v>
      </c>
      <c r="D16" t="str">
        <f>'5 regiones (3)'!C25</f>
        <v>HURTADO</v>
      </c>
      <c r="E16" t="str">
        <f>'5 regiones (3)'!D25</f>
        <v>HERNANDEZ</v>
      </c>
      <c r="F16" t="str">
        <f>'5 regiones (3)'!E25</f>
        <v>CANACINTRA TORREON</v>
      </c>
      <c r="G16" t="str">
        <f>'5 regiones (3)'!F25</f>
        <v>DIRECCION GENERAL</v>
      </c>
      <c r="H16" t="str">
        <f>'5 regiones (3)'!G25</f>
        <v>871 716 1072 
C. 871 113 6804</v>
      </c>
      <c r="I16" t="str">
        <f>'5 regiones (3)'!H25</f>
        <v>direccion@canacintratorreon.org</v>
      </c>
      <c r="J16" t="str">
        <f>'5 regiones (3)'!I25</f>
        <v>Torreón</v>
      </c>
      <c r="K16" t="str">
        <f>'5 regiones (3)'!J25</f>
        <v>Empresas</v>
      </c>
      <c r="L16" t="str">
        <f>'5 regiones (3)'!K25</f>
        <v>https://forms.gle/83kUtEx8hSA39tgy7</v>
      </c>
      <c r="M16" t="s">
        <v>515</v>
      </c>
    </row>
    <row r="17" spans="1:13" x14ac:dyDescent="0.25">
      <c r="A17">
        <v>16</v>
      </c>
      <c r="B17" t="str">
        <f>'5 regiones (3)'!A26</f>
        <v>C.P.</v>
      </c>
      <c r="C17" t="str">
        <f>'5 regiones (3)'!B26</f>
        <v xml:space="preserve">ADEL </v>
      </c>
      <c r="D17" t="str">
        <f>'5 regiones (3)'!C26</f>
        <v>ALCALA</v>
      </c>
      <c r="E17" t="str">
        <f>'5 regiones (3)'!D26</f>
        <v>HERNANDEZ</v>
      </c>
      <c r="F17" t="str">
        <f>'5 regiones (3)'!E26</f>
        <v>CAMARA DE LA PROPIEDAD URBANA DE TORREON,  A.C.</v>
      </c>
      <c r="G17" t="str">
        <f>'5 regiones (3)'!F26</f>
        <v>PRESIDENTE</v>
      </c>
      <c r="H17" t="str">
        <f>'5 regiones (3)'!G26</f>
        <v>871 192 8400
871 192 7788</v>
      </c>
      <c r="I17" t="str">
        <f>'5 regiones (3)'!H26</f>
        <v>cputorreon@hotmail.com;</v>
      </c>
      <c r="J17" t="str">
        <f>'5 regiones (3)'!I26</f>
        <v>Torreón</v>
      </c>
      <c r="K17" t="str">
        <f>'5 regiones (3)'!J26</f>
        <v>Empresas</v>
      </c>
      <c r="L17" t="str">
        <f>'5 regiones (3)'!K26</f>
        <v>https://forms.gle/83kUtEx8hSA39tgy7</v>
      </c>
      <c r="M17" t="s">
        <v>516</v>
      </c>
    </row>
    <row r="18" spans="1:13" x14ac:dyDescent="0.25">
      <c r="A18">
        <v>17</v>
      </c>
      <c r="B18" t="str">
        <f>'5 regiones (3)'!A27</f>
        <v>LIC.</v>
      </c>
      <c r="C18" t="str">
        <f>'5 regiones (3)'!B27</f>
        <v>ANTONIO MARIO</v>
      </c>
      <c r="D18" t="str">
        <f>'5 regiones (3)'!C27</f>
        <v>DAVILA</v>
      </c>
      <c r="E18" t="str">
        <f>'5 regiones (3)'!D27</f>
        <v>VILLAR</v>
      </c>
      <c r="F18" t="str">
        <f>'5 regiones (3)'!E27</f>
        <v xml:space="preserve">CANACAR REGIÓN LAGUNA </v>
      </c>
      <c r="G18" t="str">
        <f>'5 regiones (3)'!F27</f>
        <v>DELEGADO</v>
      </c>
      <c r="H18" t="str">
        <f>'5 regiones (3)'!G27</f>
        <v xml:space="preserve">871 722 5993  </v>
      </c>
      <c r="I18" t="str">
        <f>'5 regiones (3)'!H27</f>
        <v>canacar_cl@hotmail.com;  torreon@canacar.com.mx</v>
      </c>
      <c r="J18" t="str">
        <f>'5 regiones (3)'!I27</f>
        <v>Torreón</v>
      </c>
      <c r="K18" t="str">
        <f>'5 regiones (3)'!J27</f>
        <v xml:space="preserve">Transportistas </v>
      </c>
      <c r="L18" t="str">
        <f>'5 regiones (3)'!K27</f>
        <v>https://forms.gle/6MtmXcSL3NRdJKFf7</v>
      </c>
      <c r="M18" t="s">
        <v>517</v>
      </c>
    </row>
    <row r="19" spans="1:13" x14ac:dyDescent="0.25">
      <c r="A19">
        <v>18</v>
      </c>
      <c r="B19" t="str">
        <f>'5 regiones (3)'!A28</f>
        <v xml:space="preserve">ING. </v>
      </c>
      <c r="C19" t="str">
        <f>'5 regiones (3)'!B28</f>
        <v>THYRA</v>
      </c>
      <c r="D19" t="str">
        <f>'5 regiones (3)'!C28</f>
        <v>ESTAVILLO</v>
      </c>
      <c r="E19" t="str">
        <f>'5 regiones (3)'!D28</f>
        <v>BASURTO</v>
      </c>
      <c r="F19" t="str">
        <f>'5 regiones (3)'!E28</f>
        <v xml:space="preserve">CANACAR REGIÓN LAGUNA </v>
      </c>
      <c r="G19" t="str">
        <f>'5 regiones (3)'!F28</f>
        <v>GERENTE</v>
      </c>
      <c r="H19" t="str">
        <f>'5 regiones (3)'!G28</f>
        <v xml:space="preserve">871 722 5993  </v>
      </c>
      <c r="I19" t="str">
        <f>'5 regiones (3)'!H28</f>
        <v>canacar_cl@hotmail.com;  torreon@canacar.com.mx</v>
      </c>
      <c r="J19" t="str">
        <f>'5 regiones (3)'!I28</f>
        <v>Torreón</v>
      </c>
      <c r="K19" t="str">
        <f>'5 regiones (3)'!J28</f>
        <v xml:space="preserve">Transportistas </v>
      </c>
      <c r="L19" t="str">
        <f>'5 regiones (3)'!K28</f>
        <v>https://forms.gle/6MtmXcSL3NRdJKFf7</v>
      </c>
      <c r="M19" t="s">
        <v>518</v>
      </c>
    </row>
    <row r="20" spans="1:13" x14ac:dyDescent="0.25">
      <c r="A20">
        <v>19</v>
      </c>
      <c r="B20" t="str">
        <f>'5 regiones (3)'!A29</f>
        <v>LIC.</v>
      </c>
      <c r="C20" t="str">
        <f>'5 regiones (3)'!B29</f>
        <v>CATALYNA AYLEMA</v>
      </c>
      <c r="D20" t="str">
        <f>'5 regiones (3)'!C29</f>
        <v>RIVAS</v>
      </c>
      <c r="E20" t="str">
        <f>'5 regiones (3)'!D29</f>
        <v>BUSTAMANTE</v>
      </c>
      <c r="F20" t="str">
        <f>'5 regiones (3)'!E29</f>
        <v xml:space="preserve">CANACO TORREON </v>
      </c>
      <c r="G20" t="str">
        <f>'5 regiones (3)'!F29</f>
        <v>DIRECTORA GENERAL</v>
      </c>
      <c r="H20" t="str">
        <f>'5 regiones (3)'!G29</f>
        <v>871 716 8822
871 716 5420
871 716 2404
C. 871 116 9119</v>
      </c>
      <c r="I20" t="str">
        <f>'5 regiones (3)'!H29</f>
        <v>direcciongeneral@canacotorreon.com.mx; asistentedireccion@canacotorreon.com.mx;</v>
      </c>
      <c r="J20" t="str">
        <f>'5 regiones (3)'!I29</f>
        <v>Torreón</v>
      </c>
      <c r="K20" t="str">
        <f>'5 regiones (3)'!J29</f>
        <v>Comerciantes</v>
      </c>
      <c r="L20" t="str">
        <f>'5 regiones (3)'!K29</f>
        <v>https://forms.gle/jHH5VjT1WmWcRtWWA</v>
      </c>
      <c r="M20" t="s">
        <v>519</v>
      </c>
    </row>
    <row r="21" spans="1:13" x14ac:dyDescent="0.25">
      <c r="A21">
        <v>20</v>
      </c>
      <c r="B21" t="str">
        <f>'5 regiones (3)'!A30</f>
        <v xml:space="preserve">LIC. </v>
      </c>
      <c r="C21" t="str">
        <f>'5 regiones (3)'!B30</f>
        <v>TALIA</v>
      </c>
      <c r="D21" t="str">
        <f>'5 regiones (3)'!C30</f>
        <v>ROMERO</v>
      </c>
      <c r="E21" t="str">
        <f>'5 regiones (3)'!D30</f>
        <v>MUÑOZ</v>
      </c>
      <c r="F21" t="str">
        <f>'5 regiones (3)'!E30</f>
        <v xml:space="preserve">FOMENTO ECONÓMICO LAGUNA, A.C. </v>
      </c>
      <c r="G21" t="str">
        <f>'5 regiones (3)'!F30</f>
        <v>DIRECTORA</v>
      </c>
      <c r="H21" t="str">
        <f>'5 regiones (3)'!G30</f>
        <v>871 732 0929
C. 871 234 5879</v>
      </c>
      <c r="I21" t="str">
        <f>'5 regiones (3)'!H30</f>
        <v>promero@fomec.org.mx</v>
      </c>
      <c r="J21" t="str">
        <f>'5 regiones (3)'!I30</f>
        <v>Torreón</v>
      </c>
      <c r="K21" t="str">
        <f>'5 regiones (3)'!J30</f>
        <v>Empresas</v>
      </c>
      <c r="L21" t="str">
        <f>'5 regiones (3)'!K30</f>
        <v>https://forms.gle/83kUtEx8hSA39tgy7</v>
      </c>
      <c r="M21" t="s">
        <v>520</v>
      </c>
    </row>
    <row r="22" spans="1:13" x14ac:dyDescent="0.25">
      <c r="A22">
        <v>21</v>
      </c>
      <c r="B22" t="str">
        <f>'5 regiones (3)'!A31</f>
        <v>LIC.</v>
      </c>
      <c r="C22" t="str">
        <f>'5 regiones (3)'!B31</f>
        <v>FERNANDO</v>
      </c>
      <c r="D22" t="str">
        <f>'5 regiones (3)'!C31</f>
        <v>CARILLO</v>
      </c>
      <c r="E22" t="str">
        <f>'5 regiones (3)'!D31</f>
        <v>BALDERAS</v>
      </c>
      <c r="F22" t="str">
        <f>'5 regiones (3)'!E31</f>
        <v>COPARMEX DELEGACIÓN LAGUNA</v>
      </c>
      <c r="G22" t="str">
        <f>'5 regiones (3)'!F31</f>
        <v>DIRECTOR</v>
      </c>
      <c r="H22" t="str">
        <f>'5 regiones (3)'!G31</f>
        <v>871 713 6769
871 717 5497</v>
      </c>
      <c r="I22" t="str">
        <f>'5 regiones (3)'!H31</f>
        <v xml:space="preserve">presidencia@coparmexlaguna.org.mx; capacitacion@coparmexlaguna.org.mx; direccion@coparmexlaguna.org.mx; </v>
      </c>
      <c r="J22" t="str">
        <f>'5 regiones (3)'!I31</f>
        <v>Torreón</v>
      </c>
      <c r="K22" t="str">
        <f>'5 regiones (3)'!J31</f>
        <v>Empresas</v>
      </c>
      <c r="L22" t="str">
        <f>'5 regiones (3)'!K31</f>
        <v>https://forms.gle/83kUtEx8hSA39tgy7</v>
      </c>
      <c r="M22" t="s">
        <v>521</v>
      </c>
    </row>
    <row r="23" spans="1:13" x14ac:dyDescent="0.25">
      <c r="A23">
        <v>22</v>
      </c>
      <c r="B23" t="str">
        <f>'5 regiones (3)'!A32</f>
        <v>SR.</v>
      </c>
      <c r="C23" t="str">
        <f>'5 regiones (3)'!B32</f>
        <v>LUIS JUAN</v>
      </c>
      <c r="D23" t="str">
        <f>'5 regiones (3)'!C32</f>
        <v>MARCOS</v>
      </c>
      <c r="E23" t="str">
        <f>'5 regiones (3)'!D32</f>
        <v>ISSA</v>
      </c>
      <c r="F23" t="str">
        <f>'5 regiones (3)'!E32</f>
        <v>CÁMARA NACIONAL DE LA INDUSTRIA DEL VESTIDO DELEGACIÓN LAGUNA</v>
      </c>
      <c r="G23" t="str">
        <f>'5 regiones (3)'!F32</f>
        <v>PRESIDENTE</v>
      </c>
      <c r="H23" t="str">
        <f>'5 regiones (3)'!G32</f>
        <v>871 227 2525
871 227 2555</v>
      </c>
      <c r="I23" t="str">
        <f>'5 regiones (3)'!H32</f>
        <v xml:space="preserve">jrobles@canainve.org; </v>
      </c>
      <c r="J23" t="str">
        <f>'5 regiones (3)'!I32</f>
        <v>Torreón</v>
      </c>
      <c r="K23" t="str">
        <f>'5 regiones (3)'!J32</f>
        <v>Empresas</v>
      </c>
      <c r="L23" t="str">
        <f>'5 regiones (3)'!K32</f>
        <v>https://forms.gle/83kUtEx8hSA39tgy7</v>
      </c>
      <c r="M23" t="s">
        <v>522</v>
      </c>
    </row>
    <row r="24" spans="1:13" x14ac:dyDescent="0.25">
      <c r="A24">
        <v>23</v>
      </c>
      <c r="B24" t="str">
        <f>'5 regiones (3)'!A33</f>
        <v xml:space="preserve">LIC. </v>
      </c>
      <c r="C24" t="str">
        <f>'5 regiones (3)'!B33</f>
        <v>ABERLARDO ANTERO</v>
      </c>
      <c r="D24" t="str">
        <f>'5 regiones (3)'!C33</f>
        <v>FERANDEZ</v>
      </c>
      <c r="E24" t="str">
        <f>'5 regiones (3)'!D33</f>
        <v>CAVAZOS</v>
      </c>
      <c r="F24" t="str">
        <f>'5 regiones (3)'!E33</f>
        <v>CANACO SAN PEDRO</v>
      </c>
      <c r="G24" t="str">
        <f>'5 regiones (3)'!F33</f>
        <v>PRESIDENTE</v>
      </c>
      <c r="H24" t="str">
        <f>'5 regiones (3)'!G33</f>
        <v>872 121 3253</v>
      </c>
      <c r="I24" t="str">
        <f>'5 regiones (3)'!H33</f>
        <v>top_veterinaria@yahoo.com.mx; laura4luna@yahoo.com.mx;</v>
      </c>
      <c r="J24" t="str">
        <f>'5 regiones (3)'!I33</f>
        <v xml:space="preserve">San Pedro </v>
      </c>
      <c r="K24" t="str">
        <f>'5 regiones (3)'!J33</f>
        <v>Comerciantes</v>
      </c>
      <c r="L24" t="str">
        <f>'5 regiones (3)'!K33</f>
        <v>https://forms.gle/jHH5VjT1WmWcRtWWA</v>
      </c>
      <c r="M24" t="s">
        <v>523</v>
      </c>
    </row>
    <row r="25" spans="1:13" x14ac:dyDescent="0.25">
      <c r="A25">
        <v>24</v>
      </c>
      <c r="B25" t="str">
        <f>'5 regiones (3)'!A34</f>
        <v>C.P.</v>
      </c>
      <c r="C25" t="str">
        <f>'5 regiones (3)'!B34</f>
        <v>OSCAR</v>
      </c>
      <c r="D25" t="str">
        <f>'5 regiones (3)'!C34</f>
        <v>SALOMON</v>
      </c>
      <c r="E25" t="str">
        <f>'5 regiones (3)'!D34</f>
        <v>MILAN ABAD</v>
      </c>
      <c r="F25" t="str">
        <f>'5 regiones (3)'!E34</f>
        <v>CANACINTRA</v>
      </c>
      <c r="G25" t="str">
        <f>'5 regiones (3)'!F34</f>
        <v>COORDINADOR NACIONAL DE ASESORES DE DELEGACIONES</v>
      </c>
      <c r="H25" t="str">
        <f>'5 regiones (3)'!G34</f>
        <v>872 121 3253</v>
      </c>
      <c r="I25" t="str">
        <f>'5 regiones (3)'!H34</f>
        <v>top_veterinaria@yahoo.com.mx; laura4luna@yahoo.com.mx;</v>
      </c>
      <c r="J25" t="str">
        <f>'5 regiones (3)'!I34</f>
        <v xml:space="preserve">San Pedro </v>
      </c>
      <c r="K25" t="str">
        <f>'5 regiones (3)'!J34</f>
        <v>Empresas</v>
      </c>
      <c r="L25" t="str">
        <f>'5 regiones (3)'!K34</f>
        <v>https://forms.gle/83kUtEx8hSA39tgy7</v>
      </c>
      <c r="M25" t="s">
        <v>524</v>
      </c>
    </row>
    <row r="26" spans="1:13" x14ac:dyDescent="0.25">
      <c r="A26">
        <v>25</v>
      </c>
      <c r="B26" t="str">
        <f>'5 regiones (3)'!A35</f>
        <v>ING.</v>
      </c>
      <c r="C26" t="str">
        <f>'5 regiones (3)'!B35</f>
        <v>MARIO IGNACIO</v>
      </c>
      <c r="D26" t="str">
        <f>'5 regiones (3)'!C35</f>
        <v xml:space="preserve">VALDÉS </v>
      </c>
      <c r="E26" t="str">
        <f>'5 regiones (3)'!D35</f>
        <v>QUINTANILLA</v>
      </c>
      <c r="F26" t="str">
        <f>'5 regiones (3)'!E35</f>
        <v>CÁMARA AGRÍCOLA Y GANADERA DE TORREÓN, A.C.</v>
      </c>
      <c r="G26" t="str">
        <f>'5 regiones (3)'!F35</f>
        <v>PRESIDENTE</v>
      </c>
      <c r="H26" t="str">
        <f>'5 regiones (3)'!G35</f>
        <v>871 712 0317
871 716 2006</v>
      </c>
      <c r="I26" t="str">
        <f>'5 regiones (3)'!H35</f>
        <v>gerencia@camaraagricolayganadera.org; asistentepdte@camaraagricolayganadera.org;</v>
      </c>
      <c r="J26" t="str">
        <f>'5 regiones (3)'!I35</f>
        <v>Torreón</v>
      </c>
      <c r="K26" t="str">
        <f>'5 regiones (3)'!J35</f>
        <v>Empresas</v>
      </c>
      <c r="L26" t="str">
        <f>'5 regiones (3)'!K35</f>
        <v>https://forms.gle/83kUtEx8hSA39tgy7</v>
      </c>
      <c r="M26" t="s">
        <v>525</v>
      </c>
    </row>
    <row r="27" spans="1:13" x14ac:dyDescent="0.25">
      <c r="A27">
        <v>26</v>
      </c>
      <c r="B27" t="str">
        <f>'5 regiones (3)'!A36</f>
        <v>ING.</v>
      </c>
      <c r="C27" t="str">
        <f>'5 regiones (3)'!B36</f>
        <v>MARIA LUISA</v>
      </c>
      <c r="D27" t="str">
        <f>'5 regiones (3)'!C36</f>
        <v>MORALES</v>
      </c>
      <c r="E27" t="str">
        <f>'5 regiones (3)'!D36</f>
        <v>SALAS</v>
      </c>
      <c r="F27" t="str">
        <f>'5 regiones (3)'!E36</f>
        <v xml:space="preserve"> CLUSTER AUTOMOTRIZ LAGUNA</v>
      </c>
      <c r="G27" t="str">
        <f>'5 regiones (3)'!F36</f>
        <v>DIRECTORA</v>
      </c>
      <c r="H27" t="str">
        <f>'5 regiones (3)'!G36</f>
        <v xml:space="preserve">871 791 3347 </v>
      </c>
      <c r="I27" t="str">
        <f>'5 regiones (3)'!H36</f>
        <v>luisa.morales@clusterautomotrizlaguna.com; administracion@stampl.mx;</v>
      </c>
      <c r="J27" t="str">
        <f>'5 regiones (3)'!I36</f>
        <v>Torreón</v>
      </c>
      <c r="K27" t="str">
        <f>'5 regiones (3)'!J36</f>
        <v>Empresas</v>
      </c>
      <c r="L27" t="str">
        <f>'5 regiones (3)'!K36</f>
        <v>https://forms.gle/83kUtEx8hSA39tgy7</v>
      </c>
      <c r="M27" t="s">
        <v>526</v>
      </c>
    </row>
    <row r="28" spans="1:13" x14ac:dyDescent="0.25">
      <c r="A28">
        <v>27</v>
      </c>
      <c r="B28" t="str">
        <f>'5 regiones (3)'!A37</f>
        <v>LIC.</v>
      </c>
      <c r="C28" t="str">
        <f>'5 regiones (3)'!B37</f>
        <v>MARCELA</v>
      </c>
      <c r="D28" t="str">
        <f>'5 regiones (3)'!C37</f>
        <v>MARRERO</v>
      </c>
      <c r="E28" t="str">
        <f>'5 regiones (3)'!D37</f>
        <v>SARQUIS</v>
      </c>
      <c r="F28" t="str">
        <f>'5 regiones (3)'!E37</f>
        <v>CANADEVI DELEGACIÓN COMARCA LAGUNERA</v>
      </c>
      <c r="G28" t="str">
        <f>'5 regiones (3)'!F37</f>
        <v>DIRECTOR</v>
      </c>
      <c r="H28" t="str">
        <f>'5 regiones (3)'!G37</f>
        <v>871 722 3525
871 722 3526</v>
      </c>
      <c r="I28" t="str">
        <f>'5 regiones (3)'!H37</f>
        <v>admonlaguna@canadevi.com.mx; la_laguna@canadevi.com.mx;</v>
      </c>
      <c r="J28" t="str">
        <f>'5 regiones (3)'!I37</f>
        <v>Torreón</v>
      </c>
      <c r="K28" t="str">
        <f>'5 regiones (3)'!J37</f>
        <v>Empresas</v>
      </c>
      <c r="L28" t="str">
        <f>'5 regiones (3)'!K37</f>
        <v>https://forms.gle/83kUtEx8hSA39tgy7</v>
      </c>
      <c r="M28" t="s">
        <v>527</v>
      </c>
    </row>
    <row r="29" spans="1:13" x14ac:dyDescent="0.25">
      <c r="A29">
        <v>28</v>
      </c>
      <c r="B29" t="str">
        <f>'5 regiones (3)'!A39</f>
        <v>LIC.</v>
      </c>
      <c r="C29" t="str">
        <f>'5 regiones (3)'!B39</f>
        <v>OSCAR ALBERTO</v>
      </c>
      <c r="D29" t="str">
        <f>'5 regiones (3)'!C39</f>
        <v>DE ÁVILA</v>
      </c>
      <c r="E29" t="str">
        <f>'5 regiones (3)'!D39</f>
        <v>ALFARO</v>
      </c>
      <c r="F29" t="str">
        <f>'5 regiones (3)'!E39</f>
        <v>CANACO MATAMOROS</v>
      </c>
      <c r="G29" t="str">
        <f>'5 regiones (3)'!F39</f>
        <v>PRESIDENTE</v>
      </c>
      <c r="H29" t="str">
        <f>'5 regiones (3)'!G39</f>
        <v>C. 871 157 4947</v>
      </c>
      <c r="I29" t="str">
        <f>'5 regiones (3)'!H39</f>
        <v>deavilagrupo@hotmail.com</v>
      </c>
      <c r="J29" t="str">
        <f>'5 regiones (3)'!I39</f>
        <v>Matamoros</v>
      </c>
      <c r="K29" t="str">
        <f>'5 regiones (3)'!J39</f>
        <v>Comerciantes</v>
      </c>
      <c r="L29" t="str">
        <f>'5 regiones (3)'!K39</f>
        <v>https://forms.gle/jHH5VjT1WmWcRtWWA</v>
      </c>
      <c r="M29" t="s">
        <v>528</v>
      </c>
    </row>
    <row r="30" spans="1:13" x14ac:dyDescent="0.25">
      <c r="A30">
        <v>29</v>
      </c>
      <c r="B30" t="str">
        <f>'5 regiones (3)'!A41</f>
        <v>LIC.</v>
      </c>
      <c r="C30" t="str">
        <f>'5 regiones (3)'!B41</f>
        <v>EDUARDO</v>
      </c>
      <c r="D30" t="str">
        <f>'5 regiones (3)'!C41</f>
        <v>NIETO</v>
      </c>
      <c r="E30" t="str">
        <f>'5 regiones (3)'!D41</f>
        <v>MENDOZA</v>
      </c>
      <c r="F30" t="str">
        <f>'5 regiones (3)'!E41</f>
        <v>CANIRAC</v>
      </c>
      <c r="G30" t="str">
        <f>'5 regiones (3)'!F41</f>
        <v>PRESIDENTE</v>
      </c>
      <c r="H30" t="str">
        <f>'5 regiones (3)'!G41</f>
        <v>871 734 2078
 871 747 8117</v>
      </c>
      <c r="I30" t="str">
        <f>'5 regiones (3)'!H41</f>
        <v>torreon@canirac.org.mx;</v>
      </c>
      <c r="J30" t="str">
        <f>'5 regiones (3)'!I41</f>
        <v>Torreón</v>
      </c>
      <c r="K30" t="str">
        <f>'5 regiones (3)'!J41</f>
        <v>Comerciantes</v>
      </c>
      <c r="L30" t="str">
        <f>'5 regiones (3)'!K41</f>
        <v>https://forms.gle/jHH5VjT1WmWcRtWWA</v>
      </c>
      <c r="M30" t="s">
        <v>529</v>
      </c>
    </row>
    <row r="31" spans="1:13" x14ac:dyDescent="0.25">
      <c r="A31">
        <v>30</v>
      </c>
      <c r="B31" t="str">
        <f>'5 regiones (3)'!A42</f>
        <v>C.P.</v>
      </c>
      <c r="C31" t="str">
        <f>'5 regiones (3)'!B42</f>
        <v xml:space="preserve">TANIA </v>
      </c>
      <c r="D31" t="str">
        <f>'5 regiones (3)'!C42</f>
        <v>LIMONES</v>
      </c>
      <c r="E31" t="str">
        <f>'5 regiones (3)'!D42</f>
        <v>REYES</v>
      </c>
      <c r="F31" t="str">
        <f>'5 regiones (3)'!E42</f>
        <v>CANIETI COAHUILA-DURANGO</v>
      </c>
      <c r="G31" t="str">
        <f>'5 regiones (3)'!F42</f>
        <v>DIRECTORA</v>
      </c>
      <c r="H31" t="str">
        <f>'5 regiones (3)'!G42</f>
        <v>C. 871 208 3614
871 210 0015</v>
      </c>
      <c r="I31" t="str">
        <f>'5 regiones (3)'!H42</f>
        <v>direccion@canieticd.org;</v>
      </c>
      <c r="J31" t="str">
        <f>'5 regiones (3)'!I42</f>
        <v>Torreón</v>
      </c>
      <c r="K31" t="str">
        <f>'5 regiones (3)'!J42</f>
        <v>Empresas</v>
      </c>
      <c r="L31" t="str">
        <f>'5 regiones (3)'!K42</f>
        <v>https://forms.gle/83kUtEx8hSA39tgy7</v>
      </c>
      <c r="M31" t="s">
        <v>530</v>
      </c>
    </row>
    <row r="32" spans="1:13" x14ac:dyDescent="0.25">
      <c r="A32">
        <v>31</v>
      </c>
      <c r="B32" t="str">
        <f>'5 regiones (3)'!A43</f>
        <v>LIC</v>
      </c>
      <c r="C32" t="str">
        <f>'5 regiones (3)'!B43</f>
        <v>PERLA GUADALUPE</v>
      </c>
      <c r="D32" t="str">
        <f>'5 regiones (3)'!C43</f>
        <v>AGUILERA</v>
      </c>
      <c r="E32" t="str">
        <f>'5 regiones (3)'!D43</f>
        <v>BAÑUELO</v>
      </c>
      <c r="F32" t="str">
        <f>'5 regiones (3)'!E43</f>
        <v>CANACO MADERO</v>
      </c>
      <c r="G32" t="str">
        <f>'5 regiones (3)'!F43</f>
        <v>PRESIDENTE</v>
      </c>
      <c r="H32" t="str">
        <f>'5 regiones (3)'!G43</f>
        <v>872 773 1292
C. 871 213 5363</v>
      </c>
      <c r="I32" t="str">
        <f>'5 regiones (3)'!H43</f>
        <v>canaco.madero@outlook.com;</v>
      </c>
      <c r="J32" t="str">
        <f>'5 regiones (3)'!I43</f>
        <v>Fco. I. Madero</v>
      </c>
      <c r="K32" t="str">
        <f>'5 regiones (3)'!J43</f>
        <v>Comerciantes</v>
      </c>
      <c r="L32" t="str">
        <f>'5 regiones (3)'!K43</f>
        <v>https://forms.gle/jHH5VjT1WmWcRtWWA</v>
      </c>
      <c r="M32" t="s">
        <v>531</v>
      </c>
    </row>
    <row r="33" spans="1:13" x14ac:dyDescent="0.25">
      <c r="A33">
        <v>32</v>
      </c>
      <c r="B33" t="str">
        <f>'5 regiones (3)'!A44</f>
        <v>LIC</v>
      </c>
      <c r="C33" t="str">
        <f>'5 regiones (3)'!B44</f>
        <v>DONATO</v>
      </c>
      <c r="D33" t="str">
        <f>'5 regiones (3)'!C44</f>
        <v>GUTIÉRREZ</v>
      </c>
      <c r="E33" t="str">
        <f>'5 regiones (3)'!D44</f>
        <v>GUTIERREZ</v>
      </c>
      <c r="F33" t="str">
        <f>'5 regiones (3)'!E44</f>
        <v>CÁMARA MEXICANA DE LA INDUSTRIA DE LA CONSTRUCCIÓN DELEGACIÓN COMARCA LAGUNERA, COAHUILA Y DURANGO</v>
      </c>
      <c r="G33" t="str">
        <f>'5 regiones (3)'!F44</f>
        <v>PRESIDENTE</v>
      </c>
      <c r="H33" t="str">
        <f>'5 regiones (3)'!G44</f>
        <v>871 713 3361
871 717 4815
871 713 6388
C. 871 174 8415</v>
      </c>
      <c r="I33" t="str">
        <f>'5 regiones (3)'!H44</f>
        <v>donatogutierrez@coconsa.com.mx</v>
      </c>
      <c r="J33" t="str">
        <f>'5 regiones (3)'!I44</f>
        <v>Torreón</v>
      </c>
      <c r="K33" t="str">
        <f>'5 regiones (3)'!J44</f>
        <v>Empresas</v>
      </c>
      <c r="L33" t="str">
        <f>'5 regiones (3)'!K44</f>
        <v>https://forms.gle/83kUtEx8hSA39tgy7</v>
      </c>
      <c r="M33" t="s">
        <v>532</v>
      </c>
    </row>
    <row r="34" spans="1:13" x14ac:dyDescent="0.25">
      <c r="A34">
        <v>33</v>
      </c>
      <c r="B34" t="str">
        <f>'5 regiones (3)'!A50</f>
        <v>LIC.</v>
      </c>
      <c r="C34" t="str">
        <f>'5 regiones (3)'!B50</f>
        <v>BONIFACIO</v>
      </c>
      <c r="D34" t="str">
        <f>'5 regiones (3)'!C50</f>
        <v>URIBE</v>
      </c>
      <c r="E34" t="str">
        <f>'5 regiones (3)'!D50</f>
        <v>RIOJAS</v>
      </c>
      <c r="F34" t="str">
        <f>'5 regiones (3)'!E50</f>
        <v>CMIC, COAHUILA CENTRO-NORTE</v>
      </c>
      <c r="G34" t="str">
        <f>'5 regiones (3)'!F50</f>
        <v>GERENTE GENERAL</v>
      </c>
      <c r="H34" t="str">
        <f>'5 regiones (3)'!G50</f>
        <v>866 632 0591
866 633 0268
C. 866 630 0676</v>
      </c>
      <c r="I34" t="str">
        <f>'5 regiones (3)'!H50</f>
        <v>gerenciacmiccoah@hotmail.com; cmic.monclova@gmail.com</v>
      </c>
      <c r="J34" t="str">
        <f>'5 regiones (3)'!I50</f>
        <v xml:space="preserve">MONCLOVA </v>
      </c>
      <c r="K34" t="str">
        <f>'5 regiones (3)'!J50</f>
        <v>Empresas</v>
      </c>
      <c r="L34" t="str">
        <f>'5 regiones (3)'!K50</f>
        <v>https://forms.gle/83kUtEx8hSA39tgy7</v>
      </c>
      <c r="M34" t="s">
        <v>533</v>
      </c>
    </row>
    <row r="35" spans="1:13" x14ac:dyDescent="0.25">
      <c r="A35">
        <v>34</v>
      </c>
      <c r="B35" t="str">
        <f>'5 regiones (3)'!A51</f>
        <v>LIC.</v>
      </c>
      <c r="C35" t="str">
        <f>'5 regiones (3)'!B51</f>
        <v>GABRIELA</v>
      </c>
      <c r="D35" t="str">
        <f>'5 regiones (3)'!C51</f>
        <v>AVILA</v>
      </c>
      <c r="E35" t="str">
        <f>'5 regiones (3)'!D51</f>
        <v>REBOLLOZO</v>
      </c>
      <c r="F35" t="str">
        <f>'5 regiones (3)'!E51</f>
        <v>CANACO SERVYTUR MONCLOVA</v>
      </c>
      <c r="G35" t="str">
        <f>'5 regiones (3)'!F51</f>
        <v>GERENTE ADMINISTRATIVO</v>
      </c>
      <c r="H35" t="str">
        <f>'5 regiones (3)'!G51</f>
        <v>866 634 3010
866 634 2625</v>
      </c>
      <c r="I35" t="str">
        <f>'5 regiones (3)'!H51</f>
        <v>gerencia@canacomonclova.com; socios@canacomonclova.com;</v>
      </c>
      <c r="J35" t="str">
        <f>'5 regiones (3)'!I51</f>
        <v xml:space="preserve">MONCLOVA </v>
      </c>
      <c r="K35" t="str">
        <f>'5 regiones (3)'!J51</f>
        <v>Comerciantes</v>
      </c>
      <c r="L35" t="str">
        <f>'5 regiones (3)'!K51</f>
        <v>https://forms.gle/jHH5VjT1WmWcRtWWA</v>
      </c>
      <c r="M35" t="s">
        <v>534</v>
      </c>
    </row>
    <row r="36" spans="1:13" x14ac:dyDescent="0.25">
      <c r="A36">
        <v>35</v>
      </c>
      <c r="B36" t="str">
        <f>'5 regiones (3)'!A52</f>
        <v>ING.</v>
      </c>
      <c r="C36" t="str">
        <f>'5 regiones (3)'!B52</f>
        <v>NORMA ALICIA</v>
      </c>
      <c r="D36" t="str">
        <f>'5 regiones (3)'!C52</f>
        <v>CRUZ</v>
      </c>
      <c r="E36" t="str">
        <f>'5 regiones (3)'!D52</f>
        <v>SÁNCHEZ</v>
      </c>
      <c r="F36" t="str">
        <f>'5 regiones (3)'!E52</f>
        <v>CANACINTRA MONCLOVA</v>
      </c>
      <c r="G36" t="str">
        <f>'5 regiones (3)'!F52</f>
        <v>DIRECTOR</v>
      </c>
      <c r="H36" t="str">
        <f>'5 regiones (3)'!G52</f>
        <v>866 633 6633
866 631 0900</v>
      </c>
      <c r="I36" t="str">
        <f>'5 regiones (3)'!H52</f>
        <v>director@canacintramonclova.org; recepcion@canacintramonclova.org; presidente@canacintramonclova.org;</v>
      </c>
      <c r="J36" t="str">
        <f>'5 regiones (3)'!I52</f>
        <v xml:space="preserve">MONCLOVA </v>
      </c>
      <c r="K36" t="str">
        <f>'5 regiones (3)'!J52</f>
        <v>Empresas</v>
      </c>
      <c r="L36" t="str">
        <f>'5 regiones (3)'!K52</f>
        <v>https://forms.gle/83kUtEx8hSA39tgy7</v>
      </c>
      <c r="M36" t="s">
        <v>535</v>
      </c>
    </row>
    <row r="37" spans="1:13" x14ac:dyDescent="0.25">
      <c r="A37">
        <v>36</v>
      </c>
      <c r="B37" t="str">
        <f>'5 regiones (3)'!A53</f>
        <v>LIC.</v>
      </c>
      <c r="C37" t="str">
        <f>'5 regiones (3)'!B53</f>
        <v>JOSÉ EDUARDO</v>
      </c>
      <c r="D37" t="str">
        <f>'5 regiones (3)'!C53</f>
        <v>ARELLANO</v>
      </c>
      <c r="E37" t="str">
        <f>'5 regiones (3)'!D53</f>
        <v>SUÁREZ</v>
      </c>
      <c r="F37" t="str">
        <f>'5 regiones (3)'!E53</f>
        <v>UNION DE ORGANISMOS EMPRESARIALES DEL CENTRO DEL ESTADO DE COAHUILA, A.C.</v>
      </c>
      <c r="G37" t="str">
        <f>'5 regiones (3)'!F53</f>
        <v>PRESIDENTE</v>
      </c>
      <c r="H37" t="str">
        <f>'5 regiones (3)'!G53</f>
        <v>866 105 2304</v>
      </c>
      <c r="I37" t="str">
        <f>'5 regiones (3)'!H53</f>
        <v>j.arellano@grupoalimenticio.com.mx;</v>
      </c>
      <c r="J37" t="str">
        <f>'5 regiones (3)'!I53</f>
        <v xml:space="preserve">MONCLOVA </v>
      </c>
      <c r="K37" t="str">
        <f>'5 regiones (3)'!J53</f>
        <v>Empresas</v>
      </c>
      <c r="L37" t="str">
        <f>'5 regiones (3)'!K53</f>
        <v>https://forms.gle/83kUtEx8hSA39tgy7</v>
      </c>
      <c r="M37" t="s">
        <v>536</v>
      </c>
    </row>
    <row r="38" spans="1:13" x14ac:dyDescent="0.25">
      <c r="A38">
        <v>37</v>
      </c>
      <c r="B38" t="str">
        <f>'5 regiones (3)'!A54</f>
        <v>LIC.</v>
      </c>
      <c r="C38" t="str">
        <f>'5 regiones (3)'!B54</f>
        <v>ALEJANDRO</v>
      </c>
      <c r="D38" t="str">
        <f>'5 regiones (3)'!C54</f>
        <v>CORONADO</v>
      </c>
      <c r="E38" t="str">
        <f>'5 regiones (3)'!D54</f>
        <v>RODRÍGUEZ</v>
      </c>
      <c r="F38" t="str">
        <f>'5 regiones (3)'!E54</f>
        <v>CÁMARA DE LA PROPIEDAD URBANA DE MONCLOVA</v>
      </c>
      <c r="G38" t="str">
        <f>'5 regiones (3)'!F54</f>
        <v>PRESIDENTE</v>
      </c>
      <c r="H38" t="str">
        <f>'5 regiones (3)'!G54</f>
        <v>866 636 1082
866 636 2405</v>
      </c>
      <c r="I38" t="str">
        <f>'5 regiones (3)'!H54</f>
        <v>notariapublicauno_acr@prodigy.net.mx;</v>
      </c>
      <c r="J38" t="str">
        <f>'5 regiones (3)'!I54</f>
        <v xml:space="preserve">MONCLOVA </v>
      </c>
      <c r="K38" t="str">
        <f>'5 regiones (3)'!J54</f>
        <v>Empresas</v>
      </c>
      <c r="L38" t="str">
        <f>'5 regiones (3)'!K54</f>
        <v>https://forms.gle/83kUtEx8hSA39tgy7</v>
      </c>
      <c r="M38" t="s">
        <v>537</v>
      </c>
    </row>
    <row r="39" spans="1:13" x14ac:dyDescent="0.25">
      <c r="A39">
        <v>38</v>
      </c>
      <c r="B39" t="str">
        <f>'5 regiones (3)'!A56</f>
        <v>LIC.</v>
      </c>
      <c r="C39" t="str">
        <f>'5 regiones (3)'!B56</f>
        <v>CÉSAR ORLANDO</v>
      </c>
      <c r="D39" t="str">
        <f>'5 regiones (3)'!C56</f>
        <v>CHÁVEZ</v>
      </c>
      <c r="E39" t="str">
        <f>'5 regiones (3)'!D56</f>
        <v>RAMÓN</v>
      </c>
      <c r="F39" t="str">
        <f>'5 regiones (3)'!E56</f>
        <v>CANACO FRONTERA</v>
      </c>
      <c r="G39" t="str">
        <f>'5 regiones (3)'!F56</f>
        <v>PRESIDENTE</v>
      </c>
      <c r="H39" t="str">
        <f>'5 regiones (3)'!G56</f>
        <v>866 634 4042  
C. 866 131 8156</v>
      </c>
      <c r="I39" t="str">
        <f>'5 regiones (3)'!H56</f>
        <v>cesarcocr7@gmail.com</v>
      </c>
      <c r="J39" t="str">
        <f>'5 regiones (3)'!I56</f>
        <v>FRONTERA</v>
      </c>
      <c r="K39" t="str">
        <f>'5 regiones (3)'!J56</f>
        <v>Comerciantes</v>
      </c>
      <c r="L39" t="str">
        <f>'5 regiones (3)'!K56</f>
        <v>https://forms.gle/jHH5VjT1WmWcRtWWA</v>
      </c>
      <c r="M39" t="s">
        <v>538</v>
      </c>
    </row>
    <row r="40" spans="1:13" x14ac:dyDescent="0.25">
      <c r="A40">
        <v>39</v>
      </c>
      <c r="B40" t="str">
        <f>'5 regiones (3)'!A57</f>
        <v>C.P.</v>
      </c>
      <c r="C40" t="str">
        <f>'5 regiones (3)'!B57</f>
        <v>MIRIAM</v>
      </c>
      <c r="D40" t="str">
        <f>'5 regiones (3)'!C57</f>
        <v>RODRÍGUEZ</v>
      </c>
      <c r="E40" t="str">
        <f>'5 regiones (3)'!D57</f>
        <v>RODRÍGUEZ</v>
      </c>
      <c r="F40" t="str">
        <f>'5 regiones (3)'!E57</f>
        <v>COPARMEX MONCLOVA</v>
      </c>
      <c r="G40" t="str">
        <f>'5 regiones (3)'!F57</f>
        <v>DIRECTORA</v>
      </c>
      <c r="H40" t="str">
        <f>'5 regiones (3)'!G57</f>
        <v>866 163 0887</v>
      </c>
      <c r="I40" t="str">
        <f>'5 regiones (3)'!H57</f>
        <v>mujerescoparmexmva@gmail.com; gerencia@coparmexmonclova.org;</v>
      </c>
      <c r="J40" t="str">
        <f>'5 regiones (3)'!I57</f>
        <v xml:space="preserve">MONCLOVA </v>
      </c>
      <c r="K40" t="str">
        <f>'5 regiones (3)'!J57</f>
        <v>Empresas</v>
      </c>
      <c r="L40" t="str">
        <f>'5 regiones (3)'!K57</f>
        <v>https://forms.gle/83kUtEx8hSA39tgy7</v>
      </c>
      <c r="M40" t="s">
        <v>539</v>
      </c>
    </row>
    <row r="41" spans="1:13" x14ac:dyDescent="0.25">
      <c r="A41">
        <v>40</v>
      </c>
      <c r="B41" t="str">
        <f>'5 regiones (3)'!A59</f>
        <v>LIC.</v>
      </c>
      <c r="C41" t="str">
        <f>'5 regiones (3)'!B59</f>
        <v>VICTOR NASIP</v>
      </c>
      <c r="D41" t="str">
        <f>'5 regiones (3)'!C59</f>
        <v>HARB</v>
      </c>
      <c r="E41" t="str">
        <f>'5 regiones (3)'!D59</f>
        <v>KARAM</v>
      </c>
      <c r="F41" t="str">
        <f>'5 regiones (3)'!E59</f>
        <v>CAMARA DE LA INDUSTRIA DE LA RADIO Y LA TELEVISION</v>
      </c>
      <c r="G41" t="str">
        <f>'5 regiones (3)'!F59</f>
        <v>Representante de la División ante Organismos Empresariales Región Centro</v>
      </c>
      <c r="H41" t="str">
        <f>'5 regiones (3)'!G59</f>
        <v>844 412 4124
866 115 0903</v>
      </c>
      <c r="I41" t="str">
        <f>'5 regiones (3)'!H59</f>
        <v>vnhkm@yahoo.com.mx;</v>
      </c>
      <c r="J41" t="str">
        <f>'5 regiones (3)'!I59</f>
        <v xml:space="preserve">MONCLOVA </v>
      </c>
      <c r="K41" t="str">
        <f>'5 regiones (3)'!J59</f>
        <v>Empresas</v>
      </c>
      <c r="L41" t="str">
        <f>'5 regiones (3)'!K59</f>
        <v>https://forms.gle/83kUtEx8hSA39tgy7</v>
      </c>
      <c r="M41" t="s">
        <v>540</v>
      </c>
    </row>
    <row r="42" spans="1:13" x14ac:dyDescent="0.25">
      <c r="A42">
        <v>41</v>
      </c>
      <c r="B42" t="str">
        <f>'5 regiones (3)'!A65</f>
        <v>SR.</v>
      </c>
      <c r="C42" t="str">
        <f>'5 regiones (3)'!B65</f>
        <v xml:space="preserve">ALBERTO </v>
      </c>
      <c r="D42" t="str">
        <f>'5 regiones (3)'!C65</f>
        <v xml:space="preserve">LOZANO </v>
      </c>
      <c r="E42" t="str">
        <f>'5 regiones (3)'!D65</f>
        <v xml:space="preserve">VELAZQUEZ </v>
      </c>
      <c r="F42" t="str">
        <f>'5 regiones (3)'!E65</f>
        <v xml:space="preserve">CONSEJO EMPRESARIAL SABINAS </v>
      </c>
      <c r="G42" t="str">
        <f>'5 regiones (3)'!F65</f>
        <v>PRESIDENTE FUNDADOR</v>
      </c>
      <c r="H42" t="str">
        <f>'5 regiones (3)'!G65</f>
        <v>861 614 1928</v>
      </c>
      <c r="I42" t="str">
        <f>'5 regiones (3)'!H65</f>
        <v>proteccion2004@gmail.com</v>
      </c>
      <c r="J42" t="str">
        <f>'5 regiones (3)'!I65</f>
        <v>SABINAS</v>
      </c>
      <c r="K42" t="str">
        <f>'5 regiones (3)'!J65</f>
        <v>Empresas</v>
      </c>
      <c r="L42" t="str">
        <f>'5 regiones (3)'!K65</f>
        <v>https://forms.gle/83kUtEx8hSA39tgy7</v>
      </c>
      <c r="M42" t="s">
        <v>541</v>
      </c>
    </row>
    <row r="43" spans="1:13" x14ac:dyDescent="0.25">
      <c r="A43">
        <v>42</v>
      </c>
      <c r="B43" t="str">
        <f>'5 regiones (3)'!A66</f>
        <v>LIC.</v>
      </c>
      <c r="C43" t="str">
        <f>'5 regiones (3)'!B66</f>
        <v xml:space="preserve">ALBERTO </v>
      </c>
      <c r="D43" t="str">
        <f>'5 regiones (3)'!C66</f>
        <v>RAMOS</v>
      </c>
      <c r="E43" t="str">
        <f>'5 regiones (3)'!D66</f>
        <v>JIMENEZ</v>
      </c>
      <c r="F43" t="str">
        <f>'5 regiones (3)'!E66</f>
        <v xml:space="preserve">CONSEJO EMPRESARIAL SABINAS </v>
      </c>
      <c r="G43" t="str">
        <f>'5 regiones (3)'!F66</f>
        <v>PRESIDENTE</v>
      </c>
      <c r="H43" t="str">
        <f>'5 regiones (3)'!G66</f>
        <v xml:space="preserve">Minera Ramos
864 616 2697 </v>
      </c>
      <c r="I43" t="str">
        <f>'5 regiones (3)'!H66</f>
        <v>alberto.ramos@mineralesmirasa.com</v>
      </c>
      <c r="J43" t="str">
        <f>'5 regiones (3)'!I66</f>
        <v>SABINAS</v>
      </c>
      <c r="K43" t="str">
        <f>'5 regiones (3)'!J66</f>
        <v>Empresas</v>
      </c>
      <c r="L43" t="str">
        <f>'5 regiones (3)'!K66</f>
        <v>https://forms.gle/83kUtEx8hSA39tgy7</v>
      </c>
      <c r="M43" t="s">
        <v>542</v>
      </c>
    </row>
    <row r="44" spans="1:13" x14ac:dyDescent="0.25">
      <c r="A44">
        <v>43</v>
      </c>
      <c r="B44" t="str">
        <f>'5 regiones (3)'!A67</f>
        <v>LIC.</v>
      </c>
      <c r="C44" t="str">
        <f>'5 regiones (3)'!B67</f>
        <v>JOSÉ BOGAR</v>
      </c>
      <c r="D44" t="str">
        <f>'5 regiones (3)'!C67</f>
        <v>MONTEMAYOR</v>
      </c>
      <c r="E44" t="str">
        <f>'5 regiones (3)'!D67</f>
        <v>GARZA</v>
      </c>
      <c r="F44" t="str">
        <f>'5 regiones (3)'!E67</f>
        <v xml:space="preserve">UNION MEXICANA DE PRODUCTORES DE CARBON, A.C. </v>
      </c>
      <c r="G44" t="str">
        <f>'5 regiones (3)'!F67</f>
        <v>PRESIDENTE</v>
      </c>
      <c r="H44" t="str">
        <f>'5 regiones (3)'!G67</f>
        <v>861 612 1451
C. 861 612 6609</v>
      </c>
      <c r="I44" t="str">
        <f>'5 regiones (3)'!H67</f>
        <v xml:space="preserve">umpc_carbon@hotmail.com; </v>
      </c>
      <c r="J44" t="str">
        <f>'5 regiones (3)'!I67</f>
        <v>SABINAS</v>
      </c>
      <c r="K44" t="str">
        <f>'5 regiones (3)'!J67</f>
        <v>Empresas</v>
      </c>
      <c r="L44" t="str">
        <f>'5 regiones (3)'!K67</f>
        <v>https://forms.gle/83kUtEx8hSA39tgy7</v>
      </c>
      <c r="M44" t="s">
        <v>543</v>
      </c>
    </row>
    <row r="45" spans="1:13" x14ac:dyDescent="0.25">
      <c r="A45">
        <v>44</v>
      </c>
      <c r="B45" t="str">
        <f>'5 regiones (3)'!A68</f>
        <v>ING.</v>
      </c>
      <c r="C45" t="str">
        <f>'5 regiones (3)'!B68</f>
        <v>CÉSAR LUIS</v>
      </c>
      <c r="D45" t="str">
        <f>'5 regiones (3)'!C68</f>
        <v>CENICEROS</v>
      </c>
      <c r="E45" t="str">
        <f>'5 regiones (3)'!D68</f>
        <v>MARÍN</v>
      </c>
      <c r="F45" t="str">
        <f>'5 regiones (3)'!E68</f>
        <v xml:space="preserve">UNION NACIONAL DE PRODUCTORES DE CARBON </v>
      </c>
      <c r="G45" t="str">
        <f>'5 regiones (3)'!F68</f>
        <v>PRESIDENTE</v>
      </c>
      <c r="H45" t="str">
        <f>'5 regiones (3)'!G68</f>
        <v>861 612 7035
861 612 2950 
C. 878 788 9301</v>
      </c>
      <c r="I45" t="str">
        <f>'5 regiones (3)'!H68</f>
        <v>unp_ac@hotmail.com; silicaspn@gmail.com</v>
      </c>
      <c r="J45" t="str">
        <f>'5 regiones (3)'!I68</f>
        <v>SABINAS</v>
      </c>
      <c r="K45" t="str">
        <f>'5 regiones (3)'!J68</f>
        <v>Empresas</v>
      </c>
      <c r="L45" t="str">
        <f>'5 regiones (3)'!K68</f>
        <v>https://forms.gle/83kUtEx8hSA39tgy7</v>
      </c>
      <c r="M45" t="s">
        <v>544</v>
      </c>
    </row>
    <row r="46" spans="1:13" x14ac:dyDescent="0.25">
      <c r="A46">
        <v>45</v>
      </c>
      <c r="B46" t="str">
        <f>'5 regiones (3)'!A69</f>
        <v>LIC.</v>
      </c>
      <c r="C46" t="str">
        <f>'5 regiones (3)'!B69</f>
        <v>GREGORIO</v>
      </c>
      <c r="D46" t="str">
        <f>'5 regiones (3)'!C69</f>
        <v>GARZA</v>
      </c>
      <c r="E46" t="str">
        <f>'5 regiones (3)'!D69</f>
        <v>BALLI</v>
      </c>
      <c r="F46" t="str">
        <f>'5 regiones (3)'!E69</f>
        <v>CANACO SERVYTUR SABINAS</v>
      </c>
      <c r="G46" t="str">
        <f>'5 regiones (3)'!F69</f>
        <v>PRESIDENTE</v>
      </c>
      <c r="H46" t="str">
        <f>'5 regiones (3)'!G69</f>
        <v>861 613 0708
861 613 0762
C. 861 110 0117</v>
      </c>
      <c r="I46" t="str">
        <f>'5 regiones (3)'!H69</f>
        <v>sabicanaco@hotmail.com; sabicanaco@prodigy.net.mx</v>
      </c>
      <c r="J46" t="str">
        <f>'5 regiones (3)'!I69</f>
        <v>SABINAS</v>
      </c>
      <c r="K46" t="str">
        <f>'5 regiones (3)'!J69</f>
        <v>Comerciantes</v>
      </c>
      <c r="L46" t="str">
        <f>'5 regiones (3)'!K69</f>
        <v>https://forms.gle/jHH5VjT1WmWcRtWWA</v>
      </c>
      <c r="M46" t="s">
        <v>545</v>
      </c>
    </row>
    <row r="47" spans="1:13" x14ac:dyDescent="0.25">
      <c r="A47">
        <v>46</v>
      </c>
      <c r="B47" t="str">
        <f>'5 regiones (3)'!A70</f>
        <v>C.</v>
      </c>
      <c r="C47" t="str">
        <f>'5 regiones (3)'!B70</f>
        <v>ROSA GLORIA</v>
      </c>
      <c r="D47" t="str">
        <f>'5 regiones (3)'!C70</f>
        <v>DE ARTEAGA</v>
      </c>
      <c r="F47" t="str">
        <f>'5 regiones (3)'!E70</f>
        <v>CANACO NUEVA ROSITA</v>
      </c>
      <c r="G47" t="str">
        <f>'5 regiones (3)'!F70</f>
        <v>PRESIDENTE</v>
      </c>
      <c r="H47" t="str">
        <f>'5 regiones (3)'!G70</f>
        <v>861 614 5384 
Asistente: 
C .861 132 3343</v>
      </c>
      <c r="I47" t="str">
        <f>'5 regiones (3)'!H70</f>
        <v>canaco2017@hotmail.com</v>
      </c>
      <c r="J47" t="str">
        <f>'5 regiones (3)'!I70</f>
        <v>NUEVA ROSITA</v>
      </c>
      <c r="K47" t="str">
        <f>'5 regiones (3)'!J70</f>
        <v>Comerciantes</v>
      </c>
      <c r="L47" t="str">
        <f>'5 regiones (3)'!K70</f>
        <v>https://forms.gle/jHH5VjT1WmWcRtWWA</v>
      </c>
      <c r="M47" t="s">
        <v>546</v>
      </c>
    </row>
    <row r="48" spans="1:13" x14ac:dyDescent="0.25">
      <c r="A48">
        <v>47</v>
      </c>
      <c r="B48" t="str">
        <f>'5 regiones (3)'!A77</f>
        <v>LIC.</v>
      </c>
      <c r="C48" t="str">
        <f>'5 regiones (3)'!B77</f>
        <v>IRIS YANETH</v>
      </c>
      <c r="D48" t="str">
        <f>'5 regiones (3)'!C77</f>
        <v>ARIAS</v>
      </c>
      <c r="E48" t="str">
        <f>'5 regiones (3)'!D77</f>
        <v>MARTÍNEZ</v>
      </c>
      <c r="F48" t="str">
        <f>'5 regiones (3)'!E77</f>
        <v xml:space="preserve">CANACINTRA DELEGACION ACUÑA </v>
      </c>
      <c r="G48" t="str">
        <f>'5 regiones (3)'!F77</f>
        <v>GERENTE</v>
      </c>
      <c r="H48" t="str">
        <f>'5 regiones (3)'!G77</f>
        <v>877 772 5559
877 772 0026</v>
      </c>
      <c r="I48" t="str">
        <f>'5 regiones (3)'!H77</f>
        <v>direccion@canacintraacuna.com.mx; cdacuna@canacintra.org.mx</v>
      </c>
      <c r="J48" t="str">
        <f>'5 regiones (3)'!I77</f>
        <v>CD. ACUÑA</v>
      </c>
      <c r="K48" t="str">
        <f>'5 regiones (3)'!J77</f>
        <v>Empresas</v>
      </c>
      <c r="L48" t="str">
        <f>'5 regiones (3)'!K77</f>
        <v>https://forms.gle/83kUtEx8hSA39tgy7</v>
      </c>
      <c r="M48" t="s">
        <v>547</v>
      </c>
    </row>
    <row r="49" spans="1:13" x14ac:dyDescent="0.25">
      <c r="A49">
        <v>48</v>
      </c>
      <c r="B49" t="str">
        <f>'5 regiones (3)'!A78</f>
        <v>ING.</v>
      </c>
      <c r="C49" t="str">
        <f>'5 regiones (3)'!B78</f>
        <v>CARMEN</v>
      </c>
      <c r="D49" t="str">
        <f>'5 regiones (3)'!C78</f>
        <v>CORNELIO</v>
      </c>
      <c r="E49" t="str">
        <f>'5 regiones (3)'!D78</f>
        <v>VALLEJO</v>
      </c>
      <c r="F49" t="str">
        <f>'5 regiones (3)'!E78</f>
        <v>CANACO SERVYTUR ACUÑA</v>
      </c>
      <c r="G49" t="str">
        <f>'5 regiones (3)'!F78</f>
        <v>DIRECTORA</v>
      </c>
      <c r="H49" t="str">
        <f>'5 regiones (3)'!G78</f>
        <v>877 772 5015
C. 877 1154 032</v>
      </c>
      <c r="I49" t="str">
        <f>'5 regiones (3)'!H78</f>
        <v>turismocanaco@gmail.com</v>
      </c>
      <c r="J49" t="str">
        <f>'5 regiones (3)'!I78</f>
        <v>CD. ACUÑA</v>
      </c>
      <c r="K49" t="str">
        <f>'5 regiones (3)'!J78</f>
        <v>Comerciantes</v>
      </c>
      <c r="L49" t="str">
        <f>'5 regiones (3)'!K78</f>
        <v>https://forms.gle/jHH5VjT1WmWcRtWWA</v>
      </c>
      <c r="M49" t="s">
        <v>548</v>
      </c>
    </row>
    <row r="50" spans="1:13" x14ac:dyDescent="0.25">
      <c r="A50">
        <v>49</v>
      </c>
      <c r="B50" t="str">
        <f>'5 regiones (3)'!A80</f>
        <v>LIC.</v>
      </c>
      <c r="C50" t="str">
        <f>'5 regiones (3)'!B80</f>
        <v>MANUEL</v>
      </c>
      <c r="D50" t="str">
        <f>'5 regiones (3)'!C80</f>
        <v>RAMÓN</v>
      </c>
      <c r="E50" t="str">
        <f>'5 regiones (3)'!D80</f>
        <v>LOSOYA</v>
      </c>
      <c r="F50" t="str">
        <f>'5 regiones (3)'!E80</f>
        <v>COMITÉ DE DESARROLLO ECONÓMICO</v>
      </c>
      <c r="G50" t="str">
        <f>'5 regiones (3)'!F80</f>
        <v>PRESIDENTE</v>
      </c>
      <c r="H50" t="str">
        <f>'5 regiones (3)'!G80</f>
        <v>877 786 3250</v>
      </c>
      <c r="I50" t="str">
        <f>'5 regiones (3)'!H80</f>
        <v>mramon@chevyriogrande.com;</v>
      </c>
      <c r="J50" t="str">
        <f>'5 regiones (3)'!I80</f>
        <v>CD. ACUÑA</v>
      </c>
      <c r="K50" t="str">
        <f>'5 regiones (3)'!J80</f>
        <v>Empresas</v>
      </c>
      <c r="L50" t="str">
        <f>'5 regiones (3)'!K80</f>
        <v>https://forms.gle/83kUtEx8hSA39tgy7</v>
      </c>
      <c r="M50" t="s">
        <v>549</v>
      </c>
    </row>
    <row r="51" spans="1:13" x14ac:dyDescent="0.25">
      <c r="A51">
        <v>50</v>
      </c>
      <c r="B51" t="str">
        <f>'5 regiones (3)'!A81</f>
        <v>SR.</v>
      </c>
      <c r="C51" t="str">
        <f>'5 regiones (3)'!B81</f>
        <v>TOBY</v>
      </c>
      <c r="D51" t="str">
        <f>'5 regiones (3)'!C81</f>
        <v>COGGINS</v>
      </c>
      <c r="F51" t="str">
        <f>'5 regiones (3)'!E81</f>
        <v>ASOCIACIÓN DE MAQUILADORAS DE ACUÑA, A.C. (INDEX)</v>
      </c>
      <c r="G51" t="str">
        <f>'5 regiones (3)'!F81</f>
        <v>VICEPRESIDENTE DE LA ASOCIACIÓN</v>
      </c>
      <c r="H51" t="str">
        <f>'5 regiones (3)'!G81</f>
        <v>877 772 5803</v>
      </c>
      <c r="I51" t="str">
        <f>'5 regiones (3)'!H81</f>
        <v>asociaciondemaquiladorasac@gmail.com</v>
      </c>
      <c r="J51" t="str">
        <f>'5 regiones (3)'!I81</f>
        <v>CD. ACUÑA</v>
      </c>
      <c r="K51" t="str">
        <f>'5 regiones (3)'!J81</f>
        <v>Empresas</v>
      </c>
      <c r="L51" t="str">
        <f>'5 regiones (3)'!K81</f>
        <v>https://forms.gle/83kUtEx8hSA39tgy7</v>
      </c>
      <c r="M51" t="s">
        <v>550</v>
      </c>
    </row>
    <row r="52" spans="1:13" x14ac:dyDescent="0.25">
      <c r="A52">
        <v>51</v>
      </c>
      <c r="B52" t="str">
        <f>'5 regiones (3)'!A82</f>
        <v>LIC.</v>
      </c>
      <c r="C52" t="str">
        <f>'5 regiones (3)'!B82</f>
        <v>TRINIDAD</v>
      </c>
      <c r="D52" t="str">
        <f>'5 regiones (3)'!C82</f>
        <v>HERRERA</v>
      </c>
      <c r="F52" t="str">
        <f>'5 regiones (3)'!E82</f>
        <v>ASOCIACIÓN DE MAQUILADORAS DE ACUÑA, A.C. (INDEX)</v>
      </c>
      <c r="G52" t="str">
        <f>'5 regiones (3)'!F82</f>
        <v>DIRECTOR DE LA ASOCIACIÓN</v>
      </c>
      <c r="H52" t="str">
        <f>'5 regiones (3)'!G82</f>
        <v>877 772 5803
877 793 6449</v>
      </c>
      <c r="I52" t="str">
        <f>'5 regiones (3)'!H82</f>
        <v>hdzcastillayasociados@gmail.com</v>
      </c>
      <c r="J52" t="str">
        <f>'5 regiones (3)'!I82</f>
        <v>CD. ACUÑA</v>
      </c>
      <c r="K52" t="str">
        <f>'5 regiones (3)'!J82</f>
        <v>Empresas</v>
      </c>
      <c r="L52" t="str">
        <f>'5 regiones (3)'!K82</f>
        <v>https://forms.gle/83kUtEx8hSA39tgy7</v>
      </c>
      <c r="M52" t="s">
        <v>551</v>
      </c>
    </row>
    <row r="53" spans="1:13" x14ac:dyDescent="0.25">
      <c r="A53">
        <v>52</v>
      </c>
      <c r="B53" t="str">
        <f>'5 regiones (3)'!A83</f>
        <v>ING.</v>
      </c>
      <c r="C53" t="str">
        <f>'5 regiones (3)'!B83</f>
        <v>ANTONIO</v>
      </c>
      <c r="D53" t="str">
        <f>'5 regiones (3)'!C83</f>
        <v xml:space="preserve">RODRIGUEZ </v>
      </c>
      <c r="E53" t="str">
        <f>'5 regiones (3)'!D83</f>
        <v>GUAJARDO</v>
      </c>
      <c r="F53" t="str">
        <f>'5 regiones (3)'!E83</f>
        <v xml:space="preserve">UNION DE ORGANISMOS EMPRESARIALES </v>
      </c>
      <c r="G53" t="str">
        <f>'5 regiones (3)'!F83</f>
        <v>PRESIDENTE</v>
      </c>
      <c r="H53" t="str">
        <f>'5 regiones (3)'!G83</f>
        <v>877 772 5816</v>
      </c>
      <c r="I53" t="str">
        <f>'5 regiones (3)'!H83</f>
        <v>canacintra_acuna@prodigy.net.mx; roguantonio@hotmail.com; angela4958@hotmail.com;</v>
      </c>
      <c r="J53" t="str">
        <f>'5 regiones (3)'!I83</f>
        <v>CD. ACUÑA</v>
      </c>
      <c r="K53" t="str">
        <f>'5 regiones (3)'!J83</f>
        <v>Empresas</v>
      </c>
      <c r="L53" t="str">
        <f>'5 regiones (3)'!K83</f>
        <v>https://forms.gle/83kUtEx8hSA39tgy7</v>
      </c>
      <c r="M53" t="s">
        <v>552</v>
      </c>
    </row>
    <row r="54" spans="1:13" x14ac:dyDescent="0.25">
      <c r="A54">
        <v>53</v>
      </c>
      <c r="B54" t="str">
        <f>'5 regiones (3)'!A84</f>
        <v>ING.</v>
      </c>
      <c r="C54" t="str">
        <f>'5 regiones (3)'!B84</f>
        <v>KORAYMA SELENY</v>
      </c>
      <c r="D54" t="str">
        <f>'5 regiones (3)'!C84</f>
        <v>GARCÍA</v>
      </c>
      <c r="E54" t="str">
        <f>'5 regiones (3)'!D84</f>
        <v>GONZÁLEZ</v>
      </c>
      <c r="F54" t="str">
        <f>'5 regiones (3)'!E84</f>
        <v>CANACO PIEDRAS NEGRAS</v>
      </c>
      <c r="G54" t="str">
        <f>'5 regiones (3)'!F84</f>
        <v>GERENTE</v>
      </c>
      <c r="H54" t="str">
        <f>'5 regiones (3)'!G84</f>
        <v>878 782 2041</v>
      </c>
      <c r="I54" t="str">
        <f>'5 regiones (3)'!H84</f>
        <v>canacopn2013@hotmail.com;</v>
      </c>
      <c r="J54" t="str">
        <f>'5 regiones (3)'!I84</f>
        <v>PIEDRAS NEGRAS</v>
      </c>
      <c r="K54" t="str">
        <f>'5 regiones (3)'!J84</f>
        <v>Comerciantes</v>
      </c>
      <c r="L54" t="str">
        <f>'5 regiones (3)'!K84</f>
        <v>https://forms.gle/jHH5VjT1WmWcRtWWA</v>
      </c>
      <c r="M54" t="s">
        <v>553</v>
      </c>
    </row>
    <row r="55" spans="1:13" x14ac:dyDescent="0.25">
      <c r="A55">
        <v>54</v>
      </c>
      <c r="B55" t="str">
        <f>'5 regiones (3)'!A85</f>
        <v>ING.</v>
      </c>
      <c r="C55" t="str">
        <f>'5 regiones (3)'!B85</f>
        <v>KARLA</v>
      </c>
      <c r="D55" t="str">
        <f>'5 regiones (3)'!C85</f>
        <v>CADENA</v>
      </c>
      <c r="E55" t="str">
        <f>'5 regiones (3)'!D85</f>
        <v>ACOSTA</v>
      </c>
      <c r="F55" t="str">
        <f>'5 regiones (3)'!E85</f>
        <v>CANACINTRA DELEGACIÓN PIEDRAS NEGRAS</v>
      </c>
      <c r="G55" t="str">
        <f>'5 regiones (3)'!F85</f>
        <v>GERENTE GENERAL</v>
      </c>
      <c r="H55" t="str">
        <f>'5 regiones (3)'!G85</f>
        <v>878 783 8100</v>
      </c>
      <c r="I55" t="str">
        <f>'5 regiones (3)'!H85</f>
        <v>canacintrapiedrasnegras@hotmail.com</v>
      </c>
      <c r="J55" t="str">
        <f>'5 regiones (3)'!I85</f>
        <v>PIEDRAS NEGRAS</v>
      </c>
      <c r="K55" t="str">
        <f>'5 regiones (3)'!J85</f>
        <v>Empresas</v>
      </c>
      <c r="L55" t="str">
        <f>'5 regiones (3)'!K85</f>
        <v>https://forms.gle/83kUtEx8hSA39tgy7</v>
      </c>
      <c r="M55" t="s">
        <v>554</v>
      </c>
    </row>
    <row r="56" spans="1:13" x14ac:dyDescent="0.25">
      <c r="A56">
        <v>55</v>
      </c>
      <c r="B56" t="str">
        <f>'5 regiones (3)'!A86</f>
        <v>ING.</v>
      </c>
      <c r="C56" t="str">
        <f>'5 regiones (3)'!B86</f>
        <v xml:space="preserve">MORRIS </v>
      </c>
      <c r="D56" t="str">
        <f>'5 regiones (3)'!C86</f>
        <v xml:space="preserve">LIBSON </v>
      </c>
      <c r="E56" t="str">
        <f>'5 regiones (3)'!D86</f>
        <v>VALDES</v>
      </c>
      <c r="F56" t="str">
        <f>'5 regiones (3)'!E86</f>
        <v>CONSEJO DE FOMENTO ECONOMICO DE PIEDRAS NEGRAS</v>
      </c>
      <c r="G56" t="str">
        <f>'5 regiones (3)'!F86</f>
        <v>PRESIDENTE</v>
      </c>
      <c r="H56" t="str">
        <f>'5 regiones (3)'!G86</f>
        <v>CONAGAS 
878 782 2364
878 782 2400</v>
      </c>
      <c r="I56" t="str">
        <f>'5 regiones (3)'!H86</f>
        <v>conagas19@conagas.com;</v>
      </c>
      <c r="J56" t="str">
        <f>'5 regiones (3)'!I86</f>
        <v>PIEDRAS NEGRAS</v>
      </c>
      <c r="K56" t="str">
        <f>'5 regiones (3)'!J86</f>
        <v>Empresas</v>
      </c>
      <c r="L56" t="str">
        <f>'5 regiones (3)'!K86</f>
        <v>https://forms.gle/83kUtEx8hSA39tgy7</v>
      </c>
      <c r="M56" t="s">
        <v>555</v>
      </c>
    </row>
    <row r="57" spans="1:13" x14ac:dyDescent="0.25">
      <c r="A57">
        <v>56</v>
      </c>
      <c r="B57" t="str">
        <f>'5 regiones (3)'!A87</f>
        <v>C.P.</v>
      </c>
      <c r="C57" t="str">
        <f>'5 regiones (3)'!B87</f>
        <v xml:space="preserve">GUSTAVO </v>
      </c>
      <c r="D57" t="str">
        <f>'5 regiones (3)'!C87</f>
        <v>GUTIÉRREZ</v>
      </c>
      <c r="E57" t="str">
        <f>'5 regiones (3)'!D87</f>
        <v xml:space="preserve">GARCIA   </v>
      </c>
      <c r="F57" t="str">
        <f>'5 regiones (3)'!E87</f>
        <v>INDEX PIEDRAS NEGRAS</v>
      </c>
      <c r="G57" t="str">
        <f>'5 regiones (3)'!F87</f>
        <v xml:space="preserve">PRESIDENTE </v>
      </c>
      <c r="H57" t="str">
        <f>'5 regiones (3)'!G87</f>
        <v>878 783 7723</v>
      </c>
      <c r="I57" t="str">
        <f>'5 regiones (3)'!H87</f>
        <v xml:space="preserve">direccionpn@indexpiedrasnegras.org.mx; vinculacion@indexpiedrasnegras.org.mx </v>
      </c>
      <c r="J57" t="str">
        <f>'5 regiones (3)'!I87</f>
        <v>PIEDRAS NEGRAS</v>
      </c>
      <c r="K57" t="str">
        <f>'5 regiones (3)'!J87</f>
        <v>Empresas</v>
      </c>
      <c r="L57" t="str">
        <f>'5 regiones (3)'!K87</f>
        <v>https://forms.gle/83kUtEx8hSA39tgy7</v>
      </c>
      <c r="M57" t="s">
        <v>556</v>
      </c>
    </row>
    <row r="58" spans="1:13" x14ac:dyDescent="0.25">
      <c r="A58">
        <v>57</v>
      </c>
      <c r="B58" t="str">
        <f>'5 regiones (3)'!A92</f>
        <v>C.P.</v>
      </c>
      <c r="C58" t="str">
        <f>'5 regiones (3)'!B92</f>
        <v xml:space="preserve">JUAN  </v>
      </c>
      <c r="D58" t="str">
        <f>'5 regiones (3)'!C92</f>
        <v>GONZÁLEZ</v>
      </c>
      <c r="E58" t="str">
        <f>'5 regiones (3)'!D92</f>
        <v>RODRÍGUEZ</v>
      </c>
      <c r="F58" t="str">
        <f>'5 regiones (3)'!E92</f>
        <v>ASOCIACIÓN DE AGENTES ADUANALES DE PIEDRAS NEGRAS, A.C.</v>
      </c>
      <c r="G58" t="str">
        <f>'5 regiones (3)'!F92</f>
        <v>GERENTE</v>
      </c>
      <c r="H58" t="str">
        <f>'5 regiones (3)'!G92</f>
        <v>878 782 0081
Ext 110</v>
      </c>
      <c r="I58" t="str">
        <f>'5 regiones (3)'!H92</f>
        <v>juan.gonzalez@aaapn.mx</v>
      </c>
      <c r="J58" t="str">
        <f>'5 regiones (3)'!I92</f>
        <v>PIEDRAS NEGRAS</v>
      </c>
      <c r="K58" t="str">
        <f>'5 regiones (3)'!J92</f>
        <v>Agentes Aduanales</v>
      </c>
      <c r="L58" t="str">
        <f>'5 regiones (3)'!K92</f>
        <v>https://forms.gle/ML9Kq1n2aGfQywZ56</v>
      </c>
      <c r="M58" t="s">
        <v>557</v>
      </c>
    </row>
    <row r="59" spans="1:13" x14ac:dyDescent="0.25">
      <c r="A59">
        <v>58</v>
      </c>
      <c r="B59" t="str">
        <f>'5 regiones (3)'!A93</f>
        <v>C.P.</v>
      </c>
      <c r="C59" t="str">
        <f>'5 regiones (3)'!B93</f>
        <v>YOLANDA ESTHELA</v>
      </c>
      <c r="D59" t="str">
        <f>'5 regiones (3)'!C93</f>
        <v>CALDERÓN</v>
      </c>
      <c r="E59" t="str">
        <f>'5 regiones (3)'!D93</f>
        <v>AMEZCUA</v>
      </c>
      <c r="F59" t="str">
        <f>'5 regiones (3)'!E93</f>
        <v>ASOCIACION DE AGENTES ADUANALES DE ACUÑA</v>
      </c>
      <c r="G59" t="str">
        <f>'5 regiones (3)'!F93</f>
        <v>PRESIDENTE</v>
      </c>
      <c r="H59" t="str">
        <f>'5 regiones (3)'!G93</f>
        <v>877 772 2181
Ext 103</v>
      </c>
      <c r="I59" t="str">
        <f>'5 regiones (3)'!H93</f>
        <v xml:space="preserve">aaaa@aaaa.org.mx;  </v>
      </c>
      <c r="J59" t="str">
        <f>'5 regiones (3)'!I93</f>
        <v>CD. ACUÑA</v>
      </c>
      <c r="K59" t="str">
        <f>'5 regiones (3)'!J93</f>
        <v>Agentes Aduanales</v>
      </c>
      <c r="L59" t="str">
        <f>'5 regiones (3)'!K93</f>
        <v>https://forms.gle/ML9Kq1n2aGfQywZ56</v>
      </c>
      <c r="M59" t="s">
        <v>558</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F59"/>
  <sheetViews>
    <sheetView tabSelected="1" topLeftCell="A37" workbookViewId="0">
      <selection activeCell="C34" sqref="C3:C34"/>
    </sheetView>
  </sheetViews>
  <sheetFormatPr baseColWidth="10" defaultRowHeight="15" x14ac:dyDescent="0.25"/>
  <cols>
    <col min="6" max="6" width="56" customWidth="1"/>
    <col min="23" max="23" width="11.85546875" bestFit="1" customWidth="1"/>
    <col min="25" max="25" width="22.7109375" customWidth="1"/>
    <col min="26" max="26" width="25.85546875" customWidth="1"/>
  </cols>
  <sheetData>
    <row r="1" spans="1:32" ht="45" x14ac:dyDescent="0.25">
      <c r="A1" t="s">
        <v>566</v>
      </c>
      <c r="B1" t="s">
        <v>565</v>
      </c>
      <c r="C1" t="s">
        <v>567</v>
      </c>
      <c r="D1" t="s">
        <v>568</v>
      </c>
      <c r="E1" t="s">
        <v>569</v>
      </c>
      <c r="F1" t="s">
        <v>570</v>
      </c>
      <c r="G1" t="s">
        <v>572</v>
      </c>
      <c r="H1" t="s">
        <v>571</v>
      </c>
      <c r="I1" s="97" t="s">
        <v>578</v>
      </c>
      <c r="J1" s="17" t="s">
        <v>1</v>
      </c>
      <c r="K1" s="17" t="s">
        <v>2</v>
      </c>
      <c r="L1" s="17" t="s">
        <v>4</v>
      </c>
      <c r="M1" s="17" t="s">
        <v>3</v>
      </c>
      <c r="N1" s="17" t="s">
        <v>5</v>
      </c>
      <c r="O1" s="17" t="s">
        <v>6</v>
      </c>
      <c r="P1" s="17" t="s">
        <v>7</v>
      </c>
      <c r="Q1" s="17" t="s">
        <v>8</v>
      </c>
      <c r="R1" s="17" t="s">
        <v>9</v>
      </c>
      <c r="S1" s="17" t="s">
        <v>433</v>
      </c>
      <c r="T1" s="17" t="s">
        <v>434</v>
      </c>
      <c r="U1" s="86" t="s">
        <v>500</v>
      </c>
      <c r="V1" s="100"/>
      <c r="W1" s="99" t="s">
        <v>579</v>
      </c>
    </row>
    <row r="2" spans="1:32" ht="36" customHeight="1" x14ac:dyDescent="0.25">
      <c r="A2" t="str">
        <f>Y2</f>
        <v xml:space="preserve">Estimado/a LIC. MÓNICA ROCÍO VILLARREAL SAUCEDA
 DIRECTORA GENERAL
 ASOCIACION DE INDUSTRIALES Y EMPRESARIOS DE RAMOS ARIZPE,  A.C. 
</v>
      </c>
      <c r="B2" t="str">
        <f>Q2</f>
        <v>monica.villarreal@aiera.org.mx; monica.herandez@aiera.org.mx</v>
      </c>
      <c r="C2" s="91" t="s">
        <v>591</v>
      </c>
      <c r="D2" s="90" t="s">
        <v>573</v>
      </c>
      <c r="E2" t="s">
        <v>590</v>
      </c>
      <c r="F2" s="96" t="s">
        <v>592</v>
      </c>
      <c r="G2" t="str">
        <f>U2</f>
        <v>C:/Users/Brandon.Lopez/Documents/Trabajo/1906 Acuña/Cuestionarios empresas/Oficio para camaras/PDF/Oficio_1_ASOCIACION_DE_INDUSTRIALES_Y_EMPRESARIOS_DE_RAMOS_ARIZPE___A.C..pdf</v>
      </c>
      <c r="H2" s="98" t="s">
        <v>580</v>
      </c>
      <c r="I2" t="str">
        <f>W2</f>
        <v>C:/Users/Brandon.Lopez/Documents/Trabajo/1906 Acuña/Cuestionarios empresas/Oficio para camaras/Propuesta de invitación Empresas.docx</v>
      </c>
      <c r="J2" t="s">
        <v>10</v>
      </c>
      <c r="K2" t="s">
        <v>349</v>
      </c>
      <c r="L2" t="s">
        <v>12</v>
      </c>
      <c r="M2" t="s">
        <v>13</v>
      </c>
      <c r="N2" t="s">
        <v>14</v>
      </c>
      <c r="O2" t="s">
        <v>15</v>
      </c>
      <c r="P2" t="s">
        <v>411</v>
      </c>
      <c r="Q2" t="s">
        <v>16</v>
      </c>
      <c r="R2" t="s">
        <v>11</v>
      </c>
      <c r="S2" t="s">
        <v>428</v>
      </c>
      <c r="T2" s="97" t="s">
        <v>581</v>
      </c>
      <c r="U2" t="s">
        <v>501</v>
      </c>
      <c r="W2" t="str">
        <f>VLOOKUP(S2,Hoja1!$A$1:$C$5,3,0)</f>
        <v>C:/Users/Brandon.Lopez/Documents/Trabajo/1906 Acuña/Cuestionarios empresas/Oficio para camaras/Propuesta de invitación Empresas.docx</v>
      </c>
      <c r="X2" t="s">
        <v>582</v>
      </c>
      <c r="Y2" s="96" t="str">
        <f xml:space="preserve"> "Estimado/a"&amp; " " &amp;J2&amp; " "&amp;K2&amp; " "&amp;L2&amp; " "&amp;M2 &amp; "
 "
&amp;O2 &amp; "
 "
&amp;N2&amp; " 
"</f>
        <v xml:space="preserve">Estimado/a LIC. MÓNICA ROCÍO VILLARREAL SAUCEDA
 DIRECTORA GENERAL
 ASOCIACION DE INDUSTRIALES Y EMPRESARIOS DE RAMOS ARIZPE,  A.C. 
</v>
      </c>
      <c r="Z2" s="92" t="s">
        <v>574</v>
      </c>
      <c r="AA2" s="96" t="str">
        <f>"
" &amp; "La solicitud concreta a su Cámara es poder apoyar esta iniciativa en dos aspectos:
1. Contestar la encuesta para cámaras, que encontrará en el siguiente link " &amp;" " &amp; X2 &amp; " 
2. Invitar a sus agremiados a responder la encuesta que se encuentra en el link adjunto, de una manera totalmente anónima." &amp;":" &amp;T2 &amp; "
"</f>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2" s="96" t="s">
        <v>577</v>
      </c>
      <c r="AC2" s="94" t="str">
        <f>"Así mismo, se le reitera que la información que la Cámara o sus agremiados nos proporcionen, se mantendrá en total confidencialidad y será destinada únicamente para los propósitos de este proyecto." &amp; "
"</f>
        <v xml:space="preserve">Así mismo, se le reitera que la información que la Cámara o sus agremiados nos proporcionen, se mantendrá en total confidencialidad y será destinada únicamente para los propósitos de este proyecto.
</v>
      </c>
      <c r="AD2" s="94" t="s">
        <v>575</v>
      </c>
      <c r="AE2" s="95" t="str">
        <f xml:space="preserve"> "
" &amp; "En espera de su respuesta, agradecemos de antemano su colaboración y quedamos a su disposición para una llamada por cualquier duda o aclaración que requiera. ¡Esperamos contar con su valioso apoyo!"</f>
        <v xml:space="preserve">
En espera de su respuesta, agradecemos de antemano su colaboración y quedamos a su disposición para una llamada por cualquier duda o aclaración que requiera. ¡Esperamos contar con su valioso apoyo!</v>
      </c>
      <c r="AF2" t="str">
        <f>CONCATENATE(Y2,Z2,AA2,AB2,AC2,AD2,AE2)</f>
        <v>Estimado/a LIC. MÓNICA ROCÍO VILLARREAL SAUCEDA
 DIRECTORA GENERAL
 ASOCIACION DE INDUSTRIALES Y EMPRESARIOS DE RAMOS ARIZPE,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3" spans="1:32" ht="409.5" x14ac:dyDescent="0.25">
      <c r="A3" t="str">
        <f t="shared" ref="A3:A59" si="0">Y3</f>
        <v xml:space="preserve">Estimado/a MTRA. CYNTHIA ARRAZOLA OLLERVIDES
 DIRECTOR GENERAL
 CAMARA NACIONAL DE LA INDUSTRIA DE LA TRANSFORMACION DELEGACION COAHUILA SURESTE 
</v>
      </c>
      <c r="B3" t="str">
        <f t="shared" ref="B3:B59" si="1">Q3</f>
        <v xml:space="preserve">cyarrazola@canacintra-saltillo.org.mx; </v>
      </c>
      <c r="C3" s="91" t="s">
        <v>591</v>
      </c>
      <c r="D3" s="90" t="s">
        <v>573</v>
      </c>
      <c r="E3" t="s">
        <v>590</v>
      </c>
      <c r="F3" s="96" t="s">
        <v>593</v>
      </c>
      <c r="G3" t="str">
        <f t="shared" ref="G3:G59" si="2">U3</f>
        <v>C:/Users/Brandon.Lopez/Documents/Trabajo/1906 Acuña/Cuestionarios empresas/Oficio para camaras/PDF/Oficio_2_CAMARA_NACIONAL_DE_LA_INDUSTRIA_DE_LA_TRANSFORMACION_DELEGACION_COAHUILA_SURESTE.pdf</v>
      </c>
      <c r="H3" s="98" t="s">
        <v>580</v>
      </c>
      <c r="I3" t="str">
        <f t="shared" ref="I3:I59" si="3">W3</f>
        <v>C:/Users/Brandon.Lopez/Documents/Trabajo/1906 Acuña/Cuestionarios empresas/Oficio para camaras/Propuesta de invitación Empresas.docx</v>
      </c>
      <c r="J3" t="s">
        <v>22</v>
      </c>
      <c r="K3" t="s">
        <v>23</v>
      </c>
      <c r="L3" t="s">
        <v>24</v>
      </c>
      <c r="M3" t="s">
        <v>25</v>
      </c>
      <c r="N3" t="s">
        <v>17</v>
      </c>
      <c r="O3" t="s">
        <v>26</v>
      </c>
      <c r="P3" t="s">
        <v>412</v>
      </c>
      <c r="Q3" t="s">
        <v>27</v>
      </c>
      <c r="R3" t="s">
        <v>21</v>
      </c>
      <c r="S3" t="s">
        <v>428</v>
      </c>
      <c r="T3" t="s">
        <v>581</v>
      </c>
      <c r="U3" t="s">
        <v>502</v>
      </c>
      <c r="W3" t="str">
        <f>VLOOKUP(S3,Hoja1!$A$1:$C$5,3,0)</f>
        <v>C:/Users/Brandon.Lopez/Documents/Trabajo/1906 Acuña/Cuestionarios empresas/Oficio para camaras/Propuesta de invitación Empresas.docx</v>
      </c>
      <c r="X3" t="s">
        <v>582</v>
      </c>
      <c r="Y3" s="96" t="str">
        <f t="shared" ref="Y3:Y59" si="4" xml:space="preserve"> "Estimado/a"&amp; " " &amp;J3&amp; " "&amp;K3&amp; " "&amp;L3&amp; " "&amp;M3 &amp; "
 "
&amp;O3 &amp; "
 "
&amp;N3&amp; " 
"</f>
        <v xml:space="preserve">Estimado/a MTRA. CYNTHIA ARRAZOLA OLLERVIDES
 DIRECTOR GENERAL
 CAMARA NACIONAL DE LA INDUSTRIA DE LA TRANSFORMACION DELEGACION COAHUILA SURESTE 
</v>
      </c>
      <c r="Z3" s="92" t="s">
        <v>574</v>
      </c>
      <c r="AA3" s="96" t="str">
        <f>"
" &amp; "La solicitud concreta a su Cámara es poder apoyar esta iniciativa en dos aspectos:
1. Contestar la encuesta para cámaras, que encontrará en el siguiente link " &amp;" " &amp; X3 &amp; " 
2. Invitar a sus agremiados a responder la encuesta que se encuentra en el link adjunto, de una manera totalmente anónima." &amp;":" &amp;T3 &amp; "
"</f>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3" s="96" t="s">
        <v>577</v>
      </c>
      <c r="AC3" s="94" t="str">
        <f t="shared" ref="AC3:AC59" si="5">"Así mismo, se le reitera que la información que la Cámara o sus agremiados nos proporcionen, se mantendrá en total confidencialidad y será destinada únicamente para los propósitos de este proyecto." &amp; "
"</f>
        <v xml:space="preserve">Así mismo, se le reitera que la información que la Cámara o sus agremiados nos proporcionen, se mantendrá en total confidencialidad y será destinada únicamente para los propósitos de este proyecto.
</v>
      </c>
      <c r="AD3" s="94" t="s">
        <v>575</v>
      </c>
      <c r="AE3" s="95" t="str">
        <f t="shared" ref="AE3:AE59" si="6" xml:space="preserve"> "
" &amp; "En espera de su respuesta, agradecemos de antemano su colaboración y quedamos a su disposición para una llamada por cualquier duda o aclaración que requiera. ¡Esperamos contar con su valioso apoyo!"</f>
        <v xml:space="preserve">
En espera de su respuesta, agradecemos de antemano su colaboración y quedamos a su disposición para una llamada por cualquier duda o aclaración que requiera. ¡Esperamos contar con su valioso apoyo!</v>
      </c>
      <c r="AF3" t="str">
        <f t="shared" ref="AF3:AF59" si="7">CONCATENATE(Y3,Z3,AA3,AB3,AC3,AD3,AE3)</f>
        <v>Estimado/a MTRA. CYNTHIA ARRAZOLA OLLERVIDES
 DIRECTOR GENERAL
 CAMARA NACIONAL DE LA INDUSTRIA DE LA TRANSFORMACION DELEGACION COAHUILA SURESTE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4" spans="1:32" ht="409.5" x14ac:dyDescent="0.25">
      <c r="A4" t="str">
        <f t="shared" si="0"/>
        <v xml:space="preserve">Estimado/a ING. CATALINA NIÑO RODRÍGUEZ
 GERENTE
 CAMARA MEXICANA DE LA INDUSTRIA DE LA CONSTRUCCION DELEGACION COAHUILA SURESTE  
</v>
      </c>
      <c r="B4" t="str">
        <f t="shared" si="1"/>
        <v>cmicsaltillo@live.com.mx;</v>
      </c>
      <c r="C4" s="91" t="s">
        <v>591</v>
      </c>
      <c r="D4" s="90" t="s">
        <v>573</v>
      </c>
      <c r="E4" t="s">
        <v>590</v>
      </c>
      <c r="F4" s="96" t="s">
        <v>594</v>
      </c>
      <c r="G4" t="str">
        <f t="shared" si="2"/>
        <v>C:/Users/Brandon.Lopez/Documents/Trabajo/1906 Acuña/Cuestionarios empresas/Oficio para camaras/PDF/Oficio_3_CAMARA_MEXICANA_DE_LA_INDUSTRIA_DE_LA_CONSTRUCCION_DELEGACION_COAHUILA_SURESTE_.pdf</v>
      </c>
      <c r="H4" s="98" t="s">
        <v>580</v>
      </c>
      <c r="I4" t="str">
        <f t="shared" si="3"/>
        <v>C:/Users/Brandon.Lopez/Documents/Trabajo/1906 Acuña/Cuestionarios empresas/Oficio para camaras/Propuesta de invitación Empresas.docx</v>
      </c>
      <c r="J4" t="s">
        <v>18</v>
      </c>
      <c r="K4" t="s">
        <v>32</v>
      </c>
      <c r="L4" t="s">
        <v>33</v>
      </c>
      <c r="M4" t="s">
        <v>34</v>
      </c>
      <c r="N4" t="s">
        <v>30</v>
      </c>
      <c r="O4" t="s">
        <v>35</v>
      </c>
      <c r="P4" t="s">
        <v>413</v>
      </c>
      <c r="Q4" t="s">
        <v>31</v>
      </c>
      <c r="R4" t="s">
        <v>21</v>
      </c>
      <c r="S4" t="s">
        <v>428</v>
      </c>
      <c r="T4" t="s">
        <v>581</v>
      </c>
      <c r="U4" t="s">
        <v>503</v>
      </c>
      <c r="W4" t="str">
        <f>VLOOKUP(S4,Hoja1!$A$1:$C$5,3,0)</f>
        <v>C:/Users/Brandon.Lopez/Documents/Trabajo/1906 Acuña/Cuestionarios empresas/Oficio para camaras/Propuesta de invitación Empresas.docx</v>
      </c>
      <c r="X4" t="s">
        <v>582</v>
      </c>
      <c r="Y4" s="96" t="str">
        <f t="shared" si="4"/>
        <v xml:space="preserve">Estimado/a ING. CATALINA NIÑO RODRÍGUEZ
 GERENTE
 CAMARA MEXICANA DE LA INDUSTRIA DE LA CONSTRUCCION DELEGACION COAHUILA SURESTE  
</v>
      </c>
      <c r="Z4" s="92" t="s">
        <v>574</v>
      </c>
      <c r="AA4" s="96" t="str">
        <f t="shared" ref="AA4:AA59" si="8">"
" &amp; "La solicitud concreta a su Cámara es poder apoyar esta iniciativa en dos aspectos:
1. Contestar la encuesta para cámaras, que encontrará en el siguiente link " &amp;" " &amp; X4 &amp; " 
2. Invitar a sus agremiados a responder la encuesta que se encuentra en el link adjunto, de una manera totalmente anónima." &amp;":" &amp;T4 &amp; "
"</f>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4" s="96" t="s">
        <v>577</v>
      </c>
      <c r="AC4" s="94" t="str">
        <f t="shared" si="5"/>
        <v xml:space="preserve">Así mismo, se le reitera que la información que la Cámara o sus agremiados nos proporcionen, se mantendrá en total confidencialidad y será destinada únicamente para los propósitos de este proyecto.
</v>
      </c>
      <c r="AD4" s="94" t="s">
        <v>575</v>
      </c>
      <c r="AE4" s="95" t="str">
        <f t="shared" si="6"/>
        <v xml:space="preserve">
En espera de su respuesta, agradecemos de antemano su colaboración y quedamos a su disposición para una llamada por cualquier duda o aclaración que requiera. ¡Esperamos contar con su valioso apoyo!</v>
      </c>
      <c r="AF4" t="str">
        <f t="shared" si="7"/>
        <v>Estimado/a ING. CATALINA NIÑO RODRÍGUEZ
 GERENTE
 CAMARA MEXICANA DE LA INDUSTRIA DE LA CONSTRUCCION DELEGACION COAHUILA SURESTE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5" spans="1:32" ht="409.5" x14ac:dyDescent="0.25">
      <c r="A5" t="str">
        <f t="shared" si="0"/>
        <v xml:space="preserve">Estimado/a ING. CÉSAR ARMANDO VALDÉS RAMOS
 DIRECTOR
 CAMARA NACIONAL DE COMERCIO, SERVICIOS Y TURISMO DE SALTILLO / FECADECO 
</v>
      </c>
      <c r="B5" t="str">
        <f t="shared" si="1"/>
        <v>direccion@canacosaltillo.com.mx; asistentedireccion@canacosaltillo.com.mx;</v>
      </c>
      <c r="C5" s="91" t="s">
        <v>591</v>
      </c>
      <c r="D5" s="90" t="s">
        <v>573</v>
      </c>
      <c r="E5" t="s">
        <v>590</v>
      </c>
      <c r="F5" s="96" t="s">
        <v>595</v>
      </c>
      <c r="G5" t="str">
        <f t="shared" si="2"/>
        <v>C:/Users/Brandon.Lopez/Documents/Trabajo/1906 Acuña/Cuestionarios empresas/Oficio para camaras/PDF/Oficio_4_CAMARA_NACIONAL_DE_COMERCIO__SERVICIOS_Y_TURISMO_DE_SALTILLO___FECADECO.pdf</v>
      </c>
      <c r="H5" s="98" t="s">
        <v>580</v>
      </c>
      <c r="I5" t="str">
        <f t="shared" si="3"/>
        <v>C:/Users/Brandon.Lopez/Documents/Trabajo/1906 Acuña/Cuestionarios empresas/Oficio para camaras/Propuesta de invitación Comerciantes.docx</v>
      </c>
      <c r="J5" t="s">
        <v>18</v>
      </c>
      <c r="K5" t="s">
        <v>39</v>
      </c>
      <c r="L5" t="s">
        <v>40</v>
      </c>
      <c r="M5" t="s">
        <v>41</v>
      </c>
      <c r="N5" t="s">
        <v>36</v>
      </c>
      <c r="O5" t="s">
        <v>42</v>
      </c>
      <c r="P5" t="s">
        <v>414</v>
      </c>
      <c r="Q5" t="s">
        <v>38</v>
      </c>
      <c r="R5" t="s">
        <v>21</v>
      </c>
      <c r="S5" t="s">
        <v>430</v>
      </c>
      <c r="T5" t="s">
        <v>583</v>
      </c>
      <c r="U5" t="s">
        <v>504</v>
      </c>
      <c r="W5" t="str">
        <f>VLOOKUP(S5,Hoja1!$A$1:$C$5,3,0)</f>
        <v>C:/Users/Brandon.Lopez/Documents/Trabajo/1906 Acuña/Cuestionarios empresas/Oficio para camaras/Propuesta de invitación Comerciantes.docx</v>
      </c>
      <c r="X5" t="s">
        <v>582</v>
      </c>
      <c r="Y5" s="96" t="str">
        <f t="shared" si="4"/>
        <v xml:space="preserve">Estimado/a ING. CÉSAR ARMANDO VALDÉS RAMOS
 DIRECTOR
 CAMARA NACIONAL DE COMERCIO, SERVICIOS Y TURISMO DE SALTILLO / FECADECO 
</v>
      </c>
      <c r="Z5" s="92" t="s">
        <v>574</v>
      </c>
      <c r="AA5"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v>
      </c>
      <c r="AB5" s="96" t="s">
        <v>577</v>
      </c>
      <c r="AC5" s="94" t="str">
        <f t="shared" si="5"/>
        <v xml:space="preserve">Así mismo, se le reitera que la información que la Cámara o sus agremiados nos proporcionen, se mantendrá en total confidencialidad y será destinada únicamente para los propósitos de este proyecto.
</v>
      </c>
      <c r="AD5" s="94" t="s">
        <v>575</v>
      </c>
      <c r="AE5" s="95" t="str">
        <f t="shared" si="6"/>
        <v xml:space="preserve">
En espera de su respuesta, agradecemos de antemano su colaboración y quedamos a su disposición para una llamada por cualquier duda o aclaración que requiera. ¡Esperamos contar con su valioso apoyo!</v>
      </c>
      <c r="AF5" t="str">
        <f t="shared" si="7"/>
        <v>Estimado/a ING. CÉSAR ARMANDO VALDÉS RAMOS
 DIRECTOR
 CAMARA NACIONAL DE COMERCIO, SERVICIOS Y TURISMO DE SALTILLO / FECADECO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6" spans="1:32" ht="409.5" x14ac:dyDescent="0.25">
      <c r="A6" t="str">
        <f t="shared" si="0"/>
        <v xml:space="preserve">Estimado/a LIC. LUIS  TORRES ARZUAGA 
 DIRECCION
 CAMARA NACIONAL DE LA INDUSTRIA DE RESTAURANTES Y ALIMENTOS CONDIMENTADOS SALTILLO 
</v>
      </c>
      <c r="B6" t="str">
        <f t="shared" si="1"/>
        <v>contacto@caniracsaltillo.mx</v>
      </c>
      <c r="C6" s="91" t="s">
        <v>591</v>
      </c>
      <c r="D6" s="90" t="s">
        <v>573</v>
      </c>
      <c r="E6" t="s">
        <v>590</v>
      </c>
      <c r="F6" s="96" t="s">
        <v>596</v>
      </c>
      <c r="G6" t="str">
        <f t="shared" si="2"/>
        <v>C:/Users/Brandon.Lopez/Documents/Trabajo/1906 Acuña/Cuestionarios empresas/Oficio para camaras/PDF/Oficio_5_CAMARA_NACIONAL_DE_LA_INDUSTRIA_DE_RESTAURANTES_Y_ALIMENTOS_CONDIMENTADOS_SALTILLO.pdf</v>
      </c>
      <c r="H6" s="98" t="s">
        <v>580</v>
      </c>
      <c r="I6" t="str">
        <f t="shared" si="3"/>
        <v>C:/Users/Brandon.Lopez/Documents/Trabajo/1906 Acuña/Cuestionarios empresas/Oficio para camaras/Propuesta de invitación Empresas.docx</v>
      </c>
      <c r="J6" t="s">
        <v>10</v>
      </c>
      <c r="K6" t="s">
        <v>45</v>
      </c>
      <c r="L6" t="s">
        <v>46</v>
      </c>
      <c r="M6" t="s">
        <v>47</v>
      </c>
      <c r="N6" t="s">
        <v>43</v>
      </c>
      <c r="O6" t="s">
        <v>48</v>
      </c>
      <c r="P6" t="s">
        <v>415</v>
      </c>
      <c r="Q6" t="s">
        <v>49</v>
      </c>
      <c r="R6" t="s">
        <v>21</v>
      </c>
      <c r="S6" t="s">
        <v>428</v>
      </c>
      <c r="T6" t="s">
        <v>581</v>
      </c>
      <c r="U6" t="s">
        <v>505</v>
      </c>
      <c r="W6" t="str">
        <f>VLOOKUP(S6,Hoja1!$A$1:$C$5,3,0)</f>
        <v>C:/Users/Brandon.Lopez/Documents/Trabajo/1906 Acuña/Cuestionarios empresas/Oficio para camaras/Propuesta de invitación Empresas.docx</v>
      </c>
      <c r="X6" t="s">
        <v>582</v>
      </c>
      <c r="Y6" s="96" t="str">
        <f t="shared" si="4"/>
        <v xml:space="preserve">Estimado/a LIC. LUIS  TORRES ARZUAGA 
 DIRECCION
 CAMARA NACIONAL DE LA INDUSTRIA DE RESTAURANTES Y ALIMENTOS CONDIMENTADOS SALTILLO 
</v>
      </c>
      <c r="Z6" s="92" t="s">
        <v>574</v>
      </c>
      <c r="AA6"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6" s="96" t="s">
        <v>577</v>
      </c>
      <c r="AC6" s="94" t="str">
        <f t="shared" si="5"/>
        <v xml:space="preserve">Así mismo, se le reitera que la información que la Cámara o sus agremiados nos proporcionen, se mantendrá en total confidencialidad y será destinada únicamente para los propósitos de este proyecto.
</v>
      </c>
      <c r="AD6" s="94" t="s">
        <v>575</v>
      </c>
      <c r="AE6" s="95" t="str">
        <f t="shared" si="6"/>
        <v xml:space="preserve">
En espera de su respuesta, agradecemos de antemano su colaboración y quedamos a su disposición para una llamada por cualquier duda o aclaración que requiera. ¡Esperamos contar con su valioso apoyo!</v>
      </c>
      <c r="AF6" t="str">
        <f t="shared" si="7"/>
        <v>Estimado/a LIC. LUIS  TORRES ARZUAGA 
 DIRECCION
 CAMARA NACIONAL DE LA INDUSTRIA DE RESTAURANTES Y ALIMENTOS CONDIMENTADOS SALTILLO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7" spans="1:32" ht="409.5" x14ac:dyDescent="0.25">
      <c r="A7" t="str">
        <f t="shared" si="0"/>
        <v xml:space="preserve">Estimado/a LIC. LORENA RODRÍGUEZ 
 GERENTE
 CANADEVI COAHUILA 
</v>
      </c>
      <c r="B7" t="str">
        <f t="shared" si="1"/>
        <v>coahuila@canadevi.com.mx;</v>
      </c>
      <c r="C7" s="91" t="s">
        <v>591</v>
      </c>
      <c r="D7" s="90" t="s">
        <v>573</v>
      </c>
      <c r="E7" t="s">
        <v>590</v>
      </c>
      <c r="F7" s="96" t="s">
        <v>597</v>
      </c>
      <c r="G7" t="str">
        <f t="shared" si="2"/>
        <v>C:/Users/Brandon.Lopez/Documents/Trabajo/1906 Acuña/Cuestionarios empresas/Oficio para camaras/PDF/Oficio_6_CANADEVI_COAHUILA.pdf</v>
      </c>
      <c r="H7" s="98" t="s">
        <v>580</v>
      </c>
      <c r="I7" t="str">
        <f t="shared" si="3"/>
        <v>C:/Users/Brandon.Lopez/Documents/Trabajo/1906 Acuña/Cuestionarios empresas/Oficio para camaras/Propuesta de invitación Empresas.docx</v>
      </c>
      <c r="J7" t="s">
        <v>10</v>
      </c>
      <c r="K7" t="s">
        <v>51</v>
      </c>
      <c r="L7" t="s">
        <v>34</v>
      </c>
      <c r="N7" t="s">
        <v>50</v>
      </c>
      <c r="O7" t="s">
        <v>35</v>
      </c>
      <c r="P7" t="s">
        <v>416</v>
      </c>
      <c r="Q7" t="s">
        <v>52</v>
      </c>
      <c r="R7" t="s">
        <v>21</v>
      </c>
      <c r="S7" t="s">
        <v>428</v>
      </c>
      <c r="T7" t="s">
        <v>581</v>
      </c>
      <c r="U7" t="s">
        <v>506</v>
      </c>
      <c r="W7" t="str">
        <f>VLOOKUP(S7,Hoja1!$A$1:$C$5,3,0)</f>
        <v>C:/Users/Brandon.Lopez/Documents/Trabajo/1906 Acuña/Cuestionarios empresas/Oficio para camaras/Propuesta de invitación Empresas.docx</v>
      </c>
      <c r="X7" t="s">
        <v>582</v>
      </c>
      <c r="Y7" s="96" t="str">
        <f t="shared" si="4"/>
        <v xml:space="preserve">Estimado/a LIC. LORENA RODRÍGUEZ 
 GERENTE
 CANADEVI COAHUILA 
</v>
      </c>
      <c r="Z7" s="92" t="s">
        <v>574</v>
      </c>
      <c r="AA7"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7" s="96" t="s">
        <v>577</v>
      </c>
      <c r="AC7" s="94" t="str">
        <f t="shared" si="5"/>
        <v xml:space="preserve">Así mismo, se le reitera que la información que la Cámara o sus agremiados nos proporcionen, se mantendrá en total confidencialidad y será destinada únicamente para los propósitos de este proyecto.
</v>
      </c>
      <c r="AD7" s="94" t="s">
        <v>575</v>
      </c>
      <c r="AE7" s="95" t="str">
        <f t="shared" si="6"/>
        <v xml:space="preserve">
En espera de su respuesta, agradecemos de antemano su colaboración y quedamos a su disposición para una llamada por cualquier duda o aclaración que requiera. ¡Esperamos contar con su valioso apoyo!</v>
      </c>
      <c r="AF7" t="str">
        <f t="shared" si="7"/>
        <v>Estimado/a LIC. LORENA RODRÍGUEZ 
 GERENTE
 CANADEVI COAHUILA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8" spans="1:32" ht="409.5" x14ac:dyDescent="0.25">
      <c r="A8" t="str">
        <f t="shared" si="0"/>
        <v xml:space="preserve">Estimado/a ING. MIGUEL MONROY ROBLES
 DIRECTOR
 COPARMEX COAHUILA SURESTE 
</v>
      </c>
      <c r="B8" t="str">
        <f t="shared" si="1"/>
        <v>mmonroy@coparmexcoahuila.org.mx; direccion@coparmexcoahuila.org.mx;</v>
      </c>
      <c r="C8" s="91" t="s">
        <v>591</v>
      </c>
      <c r="D8" s="90" t="s">
        <v>573</v>
      </c>
      <c r="E8" t="s">
        <v>590</v>
      </c>
      <c r="F8" s="96" t="s">
        <v>598</v>
      </c>
      <c r="G8" t="str">
        <f t="shared" si="2"/>
        <v>C:/Users/Brandon.Lopez/Documents/Trabajo/1906 Acuña/Cuestionarios empresas/Oficio para camaras/PDF/Oficio_7_COPARMEX_COAHUILA_SURESTE.pdf</v>
      </c>
      <c r="H8" s="98" t="s">
        <v>580</v>
      </c>
      <c r="I8" t="str">
        <f t="shared" si="3"/>
        <v>C:/Users/Brandon.Lopez/Documents/Trabajo/1906 Acuña/Cuestionarios empresas/Oficio para camaras/Propuesta de invitación Empresas.docx</v>
      </c>
      <c r="J8" t="s">
        <v>18</v>
      </c>
      <c r="K8" t="s">
        <v>55</v>
      </c>
      <c r="L8" t="s">
        <v>56</v>
      </c>
      <c r="M8" t="s">
        <v>57</v>
      </c>
      <c r="N8" t="s">
        <v>53</v>
      </c>
      <c r="O8" t="s">
        <v>42</v>
      </c>
      <c r="P8" t="s">
        <v>417</v>
      </c>
      <c r="Q8" t="s">
        <v>58</v>
      </c>
      <c r="R8" t="s">
        <v>21</v>
      </c>
      <c r="S8" t="s">
        <v>428</v>
      </c>
      <c r="T8" t="s">
        <v>581</v>
      </c>
      <c r="U8" t="s">
        <v>507</v>
      </c>
      <c r="W8" t="str">
        <f>VLOOKUP(S8,Hoja1!$A$1:$C$5,3,0)</f>
        <v>C:/Users/Brandon.Lopez/Documents/Trabajo/1906 Acuña/Cuestionarios empresas/Oficio para camaras/Propuesta de invitación Empresas.docx</v>
      </c>
      <c r="X8" t="s">
        <v>582</v>
      </c>
      <c r="Y8" s="96" t="str">
        <f t="shared" si="4"/>
        <v xml:space="preserve">Estimado/a ING. MIGUEL MONROY ROBLES
 DIRECTOR
 COPARMEX COAHUILA SURESTE 
</v>
      </c>
      <c r="Z8" s="92" t="s">
        <v>574</v>
      </c>
      <c r="AA8"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8" s="96" t="s">
        <v>577</v>
      </c>
      <c r="AC8" s="94" t="str">
        <f t="shared" si="5"/>
        <v xml:space="preserve">Así mismo, se le reitera que la información que la Cámara o sus agremiados nos proporcionen, se mantendrá en total confidencialidad y será destinada únicamente para los propósitos de este proyecto.
</v>
      </c>
      <c r="AD8" s="94" t="s">
        <v>575</v>
      </c>
      <c r="AE8" s="95" t="str">
        <f t="shared" si="6"/>
        <v xml:space="preserve">
En espera de su respuesta, agradecemos de antemano su colaboración y quedamos a su disposición para una llamada por cualquier duda o aclaración que requiera. ¡Esperamos contar con su valioso apoyo!</v>
      </c>
      <c r="AF8" t="str">
        <f t="shared" si="7"/>
        <v>Estimado/a ING. MIGUEL MONROY ROBLES
 DIRECTOR
 COPARMEX COAHUILA SURESTE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9" spans="1:32" ht="409.5" x14ac:dyDescent="0.25">
      <c r="A9" t="str">
        <f t="shared" si="0"/>
        <v xml:space="preserve">Estimado/a SR. JUAN MANUEL RAMOS CANTÚ
 DELEGADO 
 CANACAR 
</v>
      </c>
      <c r="B9" t="str">
        <f t="shared" si="1"/>
        <v>saltillo@canacar.com.mx; delegado.saltillo@canacar.com.mx</v>
      </c>
      <c r="C9" s="91" t="s">
        <v>591</v>
      </c>
      <c r="D9" s="90" t="s">
        <v>573</v>
      </c>
      <c r="E9" t="s">
        <v>590</v>
      </c>
      <c r="F9" s="96" t="s">
        <v>599</v>
      </c>
      <c r="G9" t="str">
        <f t="shared" si="2"/>
        <v>C:/Users/Brandon.Lopez/Documents/Trabajo/1906 Acuña/Cuestionarios empresas/Oficio para camaras/PDF/Oficio_8_CANACAR.pdf</v>
      </c>
      <c r="H9" s="98" t="s">
        <v>580</v>
      </c>
      <c r="I9" t="str">
        <f t="shared" si="3"/>
        <v>C:/Users/Brandon.Lopez/Documents/Trabajo/1906 Acuña/Cuestionarios empresas/Oficio para camaras/Propuesta de invitación Transportistas.docx</v>
      </c>
      <c r="J9" t="s">
        <v>60</v>
      </c>
      <c r="K9" t="s">
        <v>61</v>
      </c>
      <c r="L9" t="s">
        <v>41</v>
      </c>
      <c r="M9" t="s">
        <v>62</v>
      </c>
      <c r="N9" t="s">
        <v>59</v>
      </c>
      <c r="O9" t="s">
        <v>63</v>
      </c>
      <c r="P9" t="s">
        <v>418</v>
      </c>
      <c r="Q9" t="s">
        <v>64</v>
      </c>
      <c r="R9" t="s">
        <v>21</v>
      </c>
      <c r="S9" t="s">
        <v>429</v>
      </c>
      <c r="T9" t="s">
        <v>584</v>
      </c>
      <c r="U9" t="s">
        <v>508</v>
      </c>
      <c r="W9" t="str">
        <f>VLOOKUP(S9,Hoja1!$A$1:$C$5,3,0)</f>
        <v>C:/Users/Brandon.Lopez/Documents/Trabajo/1906 Acuña/Cuestionarios empresas/Oficio para camaras/Propuesta de invitación Transportistas.docx</v>
      </c>
      <c r="X9" t="s">
        <v>582</v>
      </c>
      <c r="Y9" s="96" t="str">
        <f t="shared" si="4"/>
        <v xml:space="preserve">Estimado/a SR. JUAN MANUEL RAMOS CANTÚ
 DELEGADO 
 CANACAR 
</v>
      </c>
      <c r="Z9" s="92" t="s">
        <v>574</v>
      </c>
      <c r="AA9"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anónima.:https://forms.gle/6MtmXcSL3NRdJKFf7
</v>
      </c>
      <c r="AB9" s="96" t="s">
        <v>577</v>
      </c>
      <c r="AC9" s="94" t="str">
        <f t="shared" si="5"/>
        <v xml:space="preserve">Así mismo, se le reitera que la información que la Cámara o sus agremiados nos proporcionen, se mantendrá en total confidencialidad y será destinada únicamente para los propósitos de este proyecto.
</v>
      </c>
      <c r="AD9" s="94" t="s">
        <v>575</v>
      </c>
      <c r="AE9" s="95" t="str">
        <f t="shared" si="6"/>
        <v xml:space="preserve">
En espera de su respuesta, agradecemos de antemano su colaboración y quedamos a su disposición para una llamada por cualquier duda o aclaración que requiera. ¡Esperamos contar con su valioso apoyo!</v>
      </c>
      <c r="AF9" t="str">
        <f t="shared" si="7"/>
        <v>Estimado/a SR. JUAN MANUEL RAMOS CANTÚ
 DELEGADO 
 CANACAR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anónima.:https://forms.gle/6MtmXcSL3NRdJKFf7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10" spans="1:32" ht="409.5" x14ac:dyDescent="0.25">
      <c r="A10" t="str">
        <f t="shared" si="0"/>
        <v xml:space="preserve">Estimado/a SR. CARLOS JOSÉ RAMOS AGUIRRE
 GERENTE
 CANACAR 
</v>
      </c>
      <c r="B10" t="str">
        <f t="shared" si="1"/>
        <v>saltillo@canacar.com.mx; delegado.saltillo@canacar.com.mx;</v>
      </c>
      <c r="C10" s="91" t="s">
        <v>591</v>
      </c>
      <c r="D10" s="90" t="s">
        <v>573</v>
      </c>
      <c r="E10" t="s">
        <v>590</v>
      </c>
      <c r="F10" s="96" t="s">
        <v>600</v>
      </c>
      <c r="G10" t="str">
        <f t="shared" si="2"/>
        <v>C:/Users/Brandon.Lopez/Documents/Trabajo/1906 Acuña/Cuestionarios empresas/Oficio para camaras/PDF/Oficio_9_CANACAR.pdf</v>
      </c>
      <c r="H10" s="98" t="s">
        <v>580</v>
      </c>
      <c r="I10" t="str">
        <f t="shared" si="3"/>
        <v>C:/Users/Brandon.Lopez/Documents/Trabajo/1906 Acuña/Cuestionarios empresas/Oficio para camaras/Propuesta de invitación Transportistas.docx</v>
      </c>
      <c r="J10" t="s">
        <v>60</v>
      </c>
      <c r="K10" t="s">
        <v>65</v>
      </c>
      <c r="L10" t="s">
        <v>41</v>
      </c>
      <c r="M10" t="s">
        <v>66</v>
      </c>
      <c r="N10" t="s">
        <v>59</v>
      </c>
      <c r="O10" t="s">
        <v>35</v>
      </c>
      <c r="P10" t="s">
        <v>418</v>
      </c>
      <c r="Q10" t="s">
        <v>67</v>
      </c>
      <c r="R10" t="s">
        <v>21</v>
      </c>
      <c r="S10" t="s">
        <v>429</v>
      </c>
      <c r="T10" t="s">
        <v>584</v>
      </c>
      <c r="U10" t="s">
        <v>509</v>
      </c>
      <c r="W10" t="str">
        <f>VLOOKUP(S10,Hoja1!$A$1:$C$5,3,0)</f>
        <v>C:/Users/Brandon.Lopez/Documents/Trabajo/1906 Acuña/Cuestionarios empresas/Oficio para camaras/Propuesta de invitación Transportistas.docx</v>
      </c>
      <c r="X10" t="s">
        <v>582</v>
      </c>
      <c r="Y10" s="96" t="str">
        <f t="shared" si="4"/>
        <v xml:space="preserve">Estimado/a SR. CARLOS JOSÉ RAMOS AGUIRRE
 GERENTE
 CANACAR 
</v>
      </c>
      <c r="Z10" s="92" t="s">
        <v>574</v>
      </c>
      <c r="AA10"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anónima.:https://forms.gle/6MtmXcSL3NRdJKFf7
</v>
      </c>
      <c r="AB10" s="96" t="s">
        <v>577</v>
      </c>
      <c r="AC10" s="94" t="str">
        <f t="shared" si="5"/>
        <v xml:space="preserve">Así mismo, se le reitera que la información que la Cámara o sus agremiados nos proporcionen, se mantendrá en total confidencialidad y será destinada únicamente para los propósitos de este proyecto.
</v>
      </c>
      <c r="AD10" s="94" t="s">
        <v>575</v>
      </c>
      <c r="AE10" s="95" t="str">
        <f t="shared" si="6"/>
        <v xml:space="preserve">
En espera de su respuesta, agradecemos de antemano su colaboración y quedamos a su disposición para una llamada por cualquier duda o aclaración que requiera. ¡Esperamos contar con su valioso apoyo!</v>
      </c>
      <c r="AF10" t="str">
        <f t="shared" si="7"/>
        <v>Estimado/a SR. CARLOS JOSÉ RAMOS AGUIRRE
 GERENTE
 CANACAR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anónima.:https://forms.gle/6MtmXcSL3NRdJKFf7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11" spans="1:32" ht="409.5" x14ac:dyDescent="0.25">
      <c r="A11" t="str">
        <f t="shared" si="0"/>
        <v xml:space="preserve">Estimado/a ING.  JOSE ANTONIO RODRÍGUEZ FUENTES
 PRESIDENTE
 CÁMARA DE LA PROPIEDAD INMOBILIARIA COAHUILA SURESTE A.C. (CAPI) 
</v>
      </c>
      <c r="B11" t="str">
        <f t="shared" si="1"/>
        <v>arrenda.saltillo@gmail.com</v>
      </c>
      <c r="C11" s="91" t="s">
        <v>591</v>
      </c>
      <c r="D11" s="90" t="s">
        <v>573</v>
      </c>
      <c r="E11" t="s">
        <v>590</v>
      </c>
      <c r="F11" s="96" t="s">
        <v>601</v>
      </c>
      <c r="G11" t="str">
        <f t="shared" si="2"/>
        <v>C:/Users/Brandon.Lopez/Documents/Trabajo/1906 Acuña/Cuestionarios empresas/Oficio para camaras/PDF/Oficio_10_CÁMARA_DE_LA_PROPIEDAD_INMOBILIARIA_COAHUILA_SURESTE_A.C._(CAPI).pdf</v>
      </c>
      <c r="H11" s="98" t="s">
        <v>580</v>
      </c>
      <c r="I11" t="str">
        <f t="shared" si="3"/>
        <v>C:/Users/Brandon.Lopez/Documents/Trabajo/1906 Acuña/Cuestionarios empresas/Oficio para camaras/Propuesta de invitación Empresas.docx</v>
      </c>
      <c r="J11" t="s">
        <v>68</v>
      </c>
      <c r="K11" t="s">
        <v>69</v>
      </c>
      <c r="L11" t="s">
        <v>34</v>
      </c>
      <c r="M11" t="s">
        <v>70</v>
      </c>
      <c r="N11" t="s">
        <v>348</v>
      </c>
      <c r="O11" t="s">
        <v>44</v>
      </c>
      <c r="P11" t="s">
        <v>71</v>
      </c>
      <c r="Q11" t="s">
        <v>72</v>
      </c>
      <c r="R11" t="s">
        <v>21</v>
      </c>
      <c r="S11" t="s">
        <v>428</v>
      </c>
      <c r="T11" t="s">
        <v>581</v>
      </c>
      <c r="U11" t="s">
        <v>510</v>
      </c>
      <c r="W11" t="str">
        <f>VLOOKUP(S11,Hoja1!$A$1:$C$5,3,0)</f>
        <v>C:/Users/Brandon.Lopez/Documents/Trabajo/1906 Acuña/Cuestionarios empresas/Oficio para camaras/Propuesta de invitación Empresas.docx</v>
      </c>
      <c r="X11" t="s">
        <v>582</v>
      </c>
      <c r="Y11" s="96" t="str">
        <f t="shared" si="4"/>
        <v xml:space="preserve">Estimado/a ING.  JOSE ANTONIO RODRÍGUEZ FUENTES
 PRESIDENTE
 CÁMARA DE LA PROPIEDAD INMOBILIARIA COAHUILA SURESTE A.C. (CAPI) 
</v>
      </c>
      <c r="Z11" s="92" t="s">
        <v>574</v>
      </c>
      <c r="AA11"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11" s="96" t="s">
        <v>577</v>
      </c>
      <c r="AC11" s="94" t="str">
        <f t="shared" si="5"/>
        <v xml:space="preserve">Así mismo, se le reitera que la información que la Cámara o sus agremiados nos proporcionen, se mantendrá en total confidencialidad y será destinada únicamente para los propósitos de este proyecto.
</v>
      </c>
      <c r="AD11" s="94" t="s">
        <v>575</v>
      </c>
      <c r="AE11" s="95" t="str">
        <f t="shared" si="6"/>
        <v xml:space="preserve">
En espera de su respuesta, agradecemos de antemano su colaboración y quedamos a su disposición para una llamada por cualquier duda o aclaración que requiera. ¡Esperamos contar con su valioso apoyo!</v>
      </c>
      <c r="AF11" t="str">
        <f t="shared" si="7"/>
        <v>Estimado/a ING.  JOSE ANTONIO RODRÍGUEZ FUENTES
 PRESIDENTE
 CÁMARA DE LA PROPIEDAD INMOBILIARIA COAHUILA SURESTE A.C. (CAPI)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12" spans="1:32" ht="409.5" x14ac:dyDescent="0.25">
      <c r="A12" t="str">
        <f t="shared" si="0"/>
        <v xml:space="preserve">Estimado/a ING. LUIS GILBERTO GONZÁLEZ AROCHA
 PRESIDENTE
 ASOCIACIÓN MEXICANA DE HOTELES Y MOTELES DE COAHUILA 
</v>
      </c>
      <c r="B12" t="str">
        <f t="shared" si="1"/>
        <v>dmcdecoah@hotmail.com</v>
      </c>
      <c r="C12" s="91" t="s">
        <v>591</v>
      </c>
      <c r="D12" s="90" t="s">
        <v>573</v>
      </c>
      <c r="E12" t="s">
        <v>590</v>
      </c>
      <c r="F12" s="96" t="s">
        <v>602</v>
      </c>
      <c r="G12" t="str">
        <f t="shared" si="2"/>
        <v>C:/Users/Brandon.Lopez/Documents/Trabajo/1906 Acuña/Cuestionarios empresas/Oficio para camaras/PDF/Oficio_11_ASOCIACIÓN_MEXICANA_DE_HOTELES_Y_MOTELES_DE_COAHUILA.pdf</v>
      </c>
      <c r="H12" s="98" t="s">
        <v>580</v>
      </c>
      <c r="I12" t="str">
        <f t="shared" si="3"/>
        <v>C:/Users/Brandon.Lopez/Documents/Trabajo/1906 Acuña/Cuestionarios empresas/Oficio para camaras/Propuesta de invitación Empresas.docx</v>
      </c>
      <c r="J12" t="s">
        <v>18</v>
      </c>
      <c r="K12" t="s">
        <v>74</v>
      </c>
      <c r="L12" t="s">
        <v>75</v>
      </c>
      <c r="M12" t="s">
        <v>76</v>
      </c>
      <c r="N12" t="s">
        <v>73</v>
      </c>
      <c r="O12" t="s">
        <v>44</v>
      </c>
      <c r="P12" t="s">
        <v>419</v>
      </c>
      <c r="Q12" t="s">
        <v>77</v>
      </c>
      <c r="R12" t="s">
        <v>78</v>
      </c>
      <c r="S12" t="s">
        <v>428</v>
      </c>
      <c r="T12" t="s">
        <v>581</v>
      </c>
      <c r="U12" t="s">
        <v>511</v>
      </c>
      <c r="W12" t="str">
        <f>VLOOKUP(S12,Hoja1!$A$1:$C$5,3,0)</f>
        <v>C:/Users/Brandon.Lopez/Documents/Trabajo/1906 Acuña/Cuestionarios empresas/Oficio para camaras/Propuesta de invitación Empresas.docx</v>
      </c>
      <c r="X12" t="s">
        <v>582</v>
      </c>
      <c r="Y12" s="96" t="str">
        <f t="shared" si="4"/>
        <v xml:space="preserve">Estimado/a ING. LUIS GILBERTO GONZÁLEZ AROCHA
 PRESIDENTE
 ASOCIACIÓN MEXICANA DE HOTELES Y MOTELES DE COAHUILA 
</v>
      </c>
      <c r="Z12" s="92" t="s">
        <v>574</v>
      </c>
      <c r="AA12"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12" s="96" t="s">
        <v>577</v>
      </c>
      <c r="AC12" s="94" t="str">
        <f t="shared" si="5"/>
        <v xml:space="preserve">Así mismo, se le reitera que la información que la Cámara o sus agremiados nos proporcionen, se mantendrá en total confidencialidad y será destinada únicamente para los propósitos de este proyecto.
</v>
      </c>
      <c r="AD12" s="94" t="s">
        <v>575</v>
      </c>
      <c r="AE12" s="95" t="str">
        <f t="shared" si="6"/>
        <v xml:space="preserve">
En espera de su respuesta, agradecemos de antemano su colaboración y quedamos a su disposición para una llamada por cualquier duda o aclaración que requiera. ¡Esperamos contar con su valioso apoyo!</v>
      </c>
      <c r="AF12" t="str">
        <f t="shared" si="7"/>
        <v>Estimado/a ING. LUIS GILBERTO GONZÁLEZ AROCHA
 PRESIDENTE
 ASOCIACIÓN MEXICANA DE HOTELES Y MOTELES DE COAHUILA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13" spans="1:32" ht="409.5" x14ac:dyDescent="0.25">
      <c r="A13" t="str">
        <f t="shared" si="0"/>
        <v xml:space="preserve">Estimado/a DR. ROGELIO MONTEMAYOR SEGUY
 PRESIDENTE
 CLÚSTER DE ENERGIA COAHUILA, A.C. 
</v>
      </c>
      <c r="B13" t="str">
        <f t="shared" si="1"/>
        <v>presidencia@clusterenergia.org;</v>
      </c>
      <c r="C13" s="91" t="s">
        <v>591</v>
      </c>
      <c r="D13" s="90" t="s">
        <v>573</v>
      </c>
      <c r="E13" t="s">
        <v>590</v>
      </c>
      <c r="F13" s="96" t="s">
        <v>603</v>
      </c>
      <c r="G13" t="str">
        <f t="shared" si="2"/>
        <v>C:/Users/Brandon.Lopez/Documents/Trabajo/1906 Acuña/Cuestionarios empresas/Oficio para camaras/PDF/Oficio_12_CLÚSTER_DE_ENERGIA_COAHUILA__A.C..pdf</v>
      </c>
      <c r="H13" s="98" t="s">
        <v>580</v>
      </c>
      <c r="I13" t="str">
        <f t="shared" si="3"/>
        <v>C:/Users/Brandon.Lopez/Documents/Trabajo/1906 Acuña/Cuestionarios empresas/Oficio para camaras/Propuesta de invitación Empresas.docx</v>
      </c>
      <c r="J13" t="s">
        <v>80</v>
      </c>
      <c r="K13" t="s">
        <v>81</v>
      </c>
      <c r="L13" t="s">
        <v>82</v>
      </c>
      <c r="M13" t="s">
        <v>83</v>
      </c>
      <c r="N13" t="s">
        <v>79</v>
      </c>
      <c r="O13" t="s">
        <v>44</v>
      </c>
      <c r="P13" t="s">
        <v>420</v>
      </c>
      <c r="Q13" t="s">
        <v>84</v>
      </c>
      <c r="R13" t="s">
        <v>21</v>
      </c>
      <c r="S13" t="s">
        <v>428</v>
      </c>
      <c r="T13" t="s">
        <v>581</v>
      </c>
      <c r="U13" t="s">
        <v>512</v>
      </c>
      <c r="W13" t="str">
        <f>VLOOKUP(S13,Hoja1!$A$1:$C$5,3,0)</f>
        <v>C:/Users/Brandon.Lopez/Documents/Trabajo/1906 Acuña/Cuestionarios empresas/Oficio para camaras/Propuesta de invitación Empresas.docx</v>
      </c>
      <c r="X13" t="s">
        <v>582</v>
      </c>
      <c r="Y13" s="96" t="str">
        <f t="shared" si="4"/>
        <v xml:space="preserve">Estimado/a DR. ROGELIO MONTEMAYOR SEGUY
 PRESIDENTE
 CLÚSTER DE ENERGIA COAHUILA, A.C. 
</v>
      </c>
      <c r="Z13" s="92" t="s">
        <v>574</v>
      </c>
      <c r="AA13"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13" s="96" t="s">
        <v>577</v>
      </c>
      <c r="AC13" s="94" t="str">
        <f t="shared" si="5"/>
        <v xml:space="preserve">Así mismo, se le reitera que la información que la Cámara o sus agremiados nos proporcionen, se mantendrá en total confidencialidad y será destinada únicamente para los propósitos de este proyecto.
</v>
      </c>
      <c r="AD13" s="94" t="s">
        <v>575</v>
      </c>
      <c r="AE13" s="95" t="str">
        <f t="shared" si="6"/>
        <v xml:space="preserve">
En espera de su respuesta, agradecemos de antemano su colaboración y quedamos a su disposición para una llamada por cualquier duda o aclaración que requiera. ¡Esperamos contar con su valioso apoyo!</v>
      </c>
      <c r="AF13" t="str">
        <f t="shared" si="7"/>
        <v>Estimado/a DR. ROGELIO MONTEMAYOR SEGUY
 PRESIDENTE
 CLÚSTER DE ENERGIA COAHUILA,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14" spans="1:32" ht="409.5" x14ac:dyDescent="0.25">
      <c r="A14" t="str">
        <f t="shared" si="0"/>
        <v xml:space="preserve">Estimado/a ING. RICARDO SALDIVAR DÁVILA
 GERENTE
 VINOS DE COAHUILA PROVICO, A.C.  
</v>
      </c>
      <c r="B14" t="str">
        <f t="shared" si="1"/>
        <v xml:space="preserve">comitevitivinicoladecoahuila@gmail.com; </v>
      </c>
      <c r="C14" s="91" t="s">
        <v>591</v>
      </c>
      <c r="D14" s="90" t="s">
        <v>573</v>
      </c>
      <c r="E14" t="s">
        <v>590</v>
      </c>
      <c r="F14" s="96" t="s">
        <v>604</v>
      </c>
      <c r="G14" t="str">
        <f t="shared" si="2"/>
        <v>C:/Users/Brandon.Lopez/Documents/Trabajo/1906 Acuña/Cuestionarios empresas/Oficio para camaras/PDF/Oficio_13_VINOS_DE_COAHUILA_PROVICO__A.C._.pdf</v>
      </c>
      <c r="H14" s="98" t="s">
        <v>580</v>
      </c>
      <c r="I14" t="str">
        <f t="shared" si="3"/>
        <v>C:/Users/Brandon.Lopez/Documents/Trabajo/1906 Acuña/Cuestionarios empresas/Oficio para camaras/Propuesta de invitación Empresas.docx</v>
      </c>
      <c r="J14" t="s">
        <v>18</v>
      </c>
      <c r="K14" t="s">
        <v>95</v>
      </c>
      <c r="L14" t="s">
        <v>96</v>
      </c>
      <c r="M14" t="s">
        <v>29</v>
      </c>
      <c r="N14" t="s">
        <v>93</v>
      </c>
      <c r="O14" t="s">
        <v>35</v>
      </c>
      <c r="P14" t="s">
        <v>423</v>
      </c>
      <c r="Q14" t="s">
        <v>94</v>
      </c>
      <c r="R14" t="s">
        <v>21</v>
      </c>
      <c r="S14" t="s">
        <v>428</v>
      </c>
      <c r="T14" t="s">
        <v>581</v>
      </c>
      <c r="U14" t="s">
        <v>513</v>
      </c>
      <c r="W14" t="str">
        <f>VLOOKUP(S14,Hoja1!$A$1:$C$5,3,0)</f>
        <v>C:/Users/Brandon.Lopez/Documents/Trabajo/1906 Acuña/Cuestionarios empresas/Oficio para camaras/Propuesta de invitación Empresas.docx</v>
      </c>
      <c r="X14" t="s">
        <v>582</v>
      </c>
      <c r="Y14" s="96" t="str">
        <f t="shared" si="4"/>
        <v xml:space="preserve">Estimado/a ING. RICARDO SALDIVAR DÁVILA
 GERENTE
 VINOS DE COAHUILA PROVICO, A.C.  
</v>
      </c>
      <c r="Z14" s="92" t="s">
        <v>574</v>
      </c>
      <c r="AA14"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14" s="96" t="s">
        <v>577</v>
      </c>
      <c r="AC14" s="94" t="str">
        <f t="shared" si="5"/>
        <v xml:space="preserve">Así mismo, se le reitera que la información que la Cámara o sus agremiados nos proporcionen, se mantendrá en total confidencialidad y será destinada únicamente para los propósitos de este proyecto.
</v>
      </c>
      <c r="AD14" s="94" t="s">
        <v>575</v>
      </c>
      <c r="AE14" s="95" t="str">
        <f t="shared" si="6"/>
        <v xml:space="preserve">
En espera de su respuesta, agradecemos de antemano su colaboración y quedamos a su disposición para una llamada por cualquier duda o aclaración que requiera. ¡Esperamos contar con su valioso apoyo!</v>
      </c>
      <c r="AF14" t="str">
        <f t="shared" si="7"/>
        <v>Estimado/a ING. RICARDO SALDIVAR DÁVILA
 GERENTE
 VINOS DE COAHUILA PROVICO,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15" spans="1:32" ht="409.5" x14ac:dyDescent="0.25">
      <c r="A15" t="str">
        <f t="shared" si="0"/>
        <v xml:space="preserve">Estimado/a ING. HECTOR MEDRANO  FLORES
 DELEGADO EN COAHUILA
 CAMARA NACIONAL DEL ALUMINIO 
</v>
      </c>
      <c r="B15" t="str">
        <f t="shared" si="1"/>
        <v>juridico@cactusvalley.com.mx; hmedranof@cactusvalley.com.mx;</v>
      </c>
      <c r="C15" s="91" t="s">
        <v>591</v>
      </c>
      <c r="D15" s="90" t="s">
        <v>573</v>
      </c>
      <c r="E15" t="s">
        <v>590</v>
      </c>
      <c r="F15" s="96" t="s">
        <v>605</v>
      </c>
      <c r="G15" t="str">
        <f t="shared" si="2"/>
        <v>C:/Users/Brandon.Lopez/Documents/Trabajo/1906 Acuña/Cuestionarios empresas/Oficio para camaras/PDF/Oficio_14_CAMARA_NACIONAL_DEL_ALUMINIO.pdf</v>
      </c>
      <c r="H15" s="98" t="s">
        <v>580</v>
      </c>
      <c r="I15" t="str">
        <f t="shared" si="3"/>
        <v>C:/Users/Brandon.Lopez/Documents/Trabajo/1906 Acuña/Cuestionarios empresas/Oficio para camaras/Propuesta de invitación Empresas.docx</v>
      </c>
      <c r="J15" t="s">
        <v>18</v>
      </c>
      <c r="K15" t="s">
        <v>98</v>
      </c>
      <c r="L15" t="s">
        <v>99</v>
      </c>
      <c r="M15" t="s">
        <v>100</v>
      </c>
      <c r="N15" t="s">
        <v>97</v>
      </c>
      <c r="O15" t="s">
        <v>101</v>
      </c>
      <c r="P15" t="s">
        <v>424</v>
      </c>
      <c r="Q15" t="s">
        <v>102</v>
      </c>
      <c r="R15" t="s">
        <v>21</v>
      </c>
      <c r="S15" t="s">
        <v>428</v>
      </c>
      <c r="T15" t="s">
        <v>581</v>
      </c>
      <c r="U15" t="s">
        <v>514</v>
      </c>
      <c r="W15" t="str">
        <f>VLOOKUP(S15,Hoja1!$A$1:$C$5,3,0)</f>
        <v>C:/Users/Brandon.Lopez/Documents/Trabajo/1906 Acuña/Cuestionarios empresas/Oficio para camaras/Propuesta de invitación Empresas.docx</v>
      </c>
      <c r="X15" t="s">
        <v>582</v>
      </c>
      <c r="Y15" s="96" t="str">
        <f t="shared" si="4"/>
        <v xml:space="preserve">Estimado/a ING. HECTOR MEDRANO  FLORES
 DELEGADO EN COAHUILA
 CAMARA NACIONAL DEL ALUMINIO 
</v>
      </c>
      <c r="Z15" s="92" t="s">
        <v>574</v>
      </c>
      <c r="AA15"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15" s="96" t="s">
        <v>577</v>
      </c>
      <c r="AC15" s="94" t="str">
        <f t="shared" si="5"/>
        <v xml:space="preserve">Así mismo, se le reitera que la información que la Cámara o sus agremiados nos proporcionen, se mantendrá en total confidencialidad y será destinada únicamente para los propósitos de este proyecto.
</v>
      </c>
      <c r="AD15" s="94" t="s">
        <v>575</v>
      </c>
      <c r="AE15" s="95" t="str">
        <f t="shared" si="6"/>
        <v xml:space="preserve">
En espera de su respuesta, agradecemos de antemano su colaboración y quedamos a su disposición para una llamada por cualquier duda o aclaración que requiera. ¡Esperamos contar con su valioso apoyo!</v>
      </c>
      <c r="AF15" t="str">
        <f t="shared" si="7"/>
        <v>Estimado/a ING. HECTOR MEDRANO  FLORES
 DELEGADO EN COAHUILA
 CAMARA NACIONAL DEL ALUMINIO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16" spans="1:32" ht="409.5" x14ac:dyDescent="0.25">
      <c r="A16" t="str">
        <f t="shared" si="0"/>
        <v xml:space="preserve">Estimado/a LIC. ALEJANDRA HURTADO HERNANDEZ
 DIRECCION GENERAL
 CANACINTRA TORREON 
</v>
      </c>
      <c r="B16" t="str">
        <f t="shared" si="1"/>
        <v>direccion@canacintratorreon.org</v>
      </c>
      <c r="C16" s="91" t="s">
        <v>591</v>
      </c>
      <c r="D16" s="90" t="s">
        <v>573</v>
      </c>
      <c r="E16" t="s">
        <v>590</v>
      </c>
      <c r="F16" s="96" t="s">
        <v>606</v>
      </c>
      <c r="G16" t="str">
        <f t="shared" si="2"/>
        <v>C:/Users/Brandon.Lopez/Documents/Trabajo/1906 Acuña/Cuestionarios empresas/Oficio para camaras/PDF/Oficio_15_CANACINTRA_TORREON.pdf</v>
      </c>
      <c r="H16" s="98" t="s">
        <v>580</v>
      </c>
      <c r="I16" t="str">
        <f t="shared" si="3"/>
        <v>C:/Users/Brandon.Lopez/Documents/Trabajo/1906 Acuña/Cuestionarios empresas/Oficio para camaras/Propuesta de invitación Empresas.docx</v>
      </c>
      <c r="J16" t="s">
        <v>10</v>
      </c>
      <c r="K16" t="s">
        <v>107</v>
      </c>
      <c r="L16" t="s">
        <v>108</v>
      </c>
      <c r="M16" t="s">
        <v>109</v>
      </c>
      <c r="N16" t="s">
        <v>105</v>
      </c>
      <c r="O16" t="s">
        <v>110</v>
      </c>
      <c r="P16" t="s">
        <v>393</v>
      </c>
      <c r="Q16" t="s">
        <v>559</v>
      </c>
      <c r="R16" t="s">
        <v>106</v>
      </c>
      <c r="S16" t="s">
        <v>428</v>
      </c>
      <c r="T16" t="s">
        <v>581</v>
      </c>
      <c r="U16" t="s">
        <v>515</v>
      </c>
      <c r="W16" t="str">
        <f>VLOOKUP(S16,Hoja1!$A$1:$C$5,3,0)</f>
        <v>C:/Users/Brandon.Lopez/Documents/Trabajo/1906 Acuña/Cuestionarios empresas/Oficio para camaras/Propuesta de invitación Empresas.docx</v>
      </c>
      <c r="X16" t="s">
        <v>582</v>
      </c>
      <c r="Y16" s="96" t="str">
        <f t="shared" si="4"/>
        <v xml:space="preserve">Estimado/a LIC. ALEJANDRA HURTADO HERNANDEZ
 DIRECCION GENERAL
 CANACINTRA TORREON 
</v>
      </c>
      <c r="Z16" s="92" t="s">
        <v>574</v>
      </c>
      <c r="AA16"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16" s="96" t="s">
        <v>577</v>
      </c>
      <c r="AC16" s="94" t="str">
        <f t="shared" si="5"/>
        <v xml:space="preserve">Así mismo, se le reitera que la información que la Cámara o sus agremiados nos proporcionen, se mantendrá en total confidencialidad y será destinada únicamente para los propósitos de este proyecto.
</v>
      </c>
      <c r="AD16" s="94" t="s">
        <v>575</v>
      </c>
      <c r="AE16" s="95" t="str">
        <f t="shared" si="6"/>
        <v xml:space="preserve">
En espera de su respuesta, agradecemos de antemano su colaboración y quedamos a su disposición para una llamada por cualquier duda o aclaración que requiera. ¡Esperamos contar con su valioso apoyo!</v>
      </c>
      <c r="AF16" t="str">
        <f t="shared" si="7"/>
        <v>Estimado/a LIC. ALEJANDRA HURTADO HERNANDEZ
 DIRECCION GENERAL
 CANACINTRA TORREON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17" spans="1:32" ht="409.5" x14ac:dyDescent="0.25">
      <c r="A17" t="str">
        <f t="shared" si="0"/>
        <v xml:space="preserve">Estimado/a C.P. ADEL  ALCALA HERNANDEZ
 PRESIDENTE
 CAMARA DE LA PROPIEDAD URBANA DE TORREON,  A.C. 
</v>
      </c>
      <c r="B17" t="str">
        <f t="shared" si="1"/>
        <v>cputorreon@hotmail.com;</v>
      </c>
      <c r="C17" s="91" t="s">
        <v>591</v>
      </c>
      <c r="D17" s="90" t="s">
        <v>573</v>
      </c>
      <c r="E17" t="s">
        <v>590</v>
      </c>
      <c r="F17" s="96" t="s">
        <v>607</v>
      </c>
      <c r="G17" t="str">
        <f t="shared" si="2"/>
        <v>C:/Users/Brandon.Lopez/Documents/Trabajo/1906 Acuña/Cuestionarios empresas/Oficio para camaras/PDF/Oficio_16_CAMARA_DE_LA_PROPIEDAD_URBANA_DE_TORREON___A.C..pdf</v>
      </c>
      <c r="H17" s="98" t="s">
        <v>580</v>
      </c>
      <c r="I17" t="str">
        <f t="shared" si="3"/>
        <v>C:/Users/Brandon.Lopez/Documents/Trabajo/1906 Acuña/Cuestionarios empresas/Oficio para camaras/Propuesta de invitación Empresas.docx</v>
      </c>
      <c r="J17" t="s">
        <v>54</v>
      </c>
      <c r="K17" t="s">
        <v>112</v>
      </c>
      <c r="L17" t="s">
        <v>113</v>
      </c>
      <c r="M17" t="s">
        <v>109</v>
      </c>
      <c r="N17" t="s">
        <v>114</v>
      </c>
      <c r="O17" t="s">
        <v>44</v>
      </c>
      <c r="P17" t="s">
        <v>394</v>
      </c>
      <c r="Q17" t="s">
        <v>115</v>
      </c>
      <c r="R17" t="s">
        <v>106</v>
      </c>
      <c r="S17" t="s">
        <v>428</v>
      </c>
      <c r="T17" t="s">
        <v>581</v>
      </c>
      <c r="U17" t="s">
        <v>516</v>
      </c>
      <c r="W17" t="str">
        <f>VLOOKUP(S17,Hoja1!$A$1:$C$5,3,0)</f>
        <v>C:/Users/Brandon.Lopez/Documents/Trabajo/1906 Acuña/Cuestionarios empresas/Oficio para camaras/Propuesta de invitación Empresas.docx</v>
      </c>
      <c r="X17" t="s">
        <v>582</v>
      </c>
      <c r="Y17" s="96" t="str">
        <f t="shared" si="4"/>
        <v xml:space="preserve">Estimado/a C.P. ADEL  ALCALA HERNANDEZ
 PRESIDENTE
 CAMARA DE LA PROPIEDAD URBANA DE TORREON,  A.C. 
</v>
      </c>
      <c r="Z17" s="92" t="s">
        <v>574</v>
      </c>
      <c r="AA17"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17" s="96" t="s">
        <v>577</v>
      </c>
      <c r="AC17" s="94" t="str">
        <f t="shared" si="5"/>
        <v xml:space="preserve">Así mismo, se le reitera que la información que la Cámara o sus agremiados nos proporcionen, se mantendrá en total confidencialidad y será destinada únicamente para los propósitos de este proyecto.
</v>
      </c>
      <c r="AD17" s="94" t="s">
        <v>575</v>
      </c>
      <c r="AE17" s="95" t="str">
        <f t="shared" si="6"/>
        <v xml:space="preserve">
En espera de su respuesta, agradecemos de antemano su colaboración y quedamos a su disposición para una llamada por cualquier duda o aclaración que requiera. ¡Esperamos contar con su valioso apoyo!</v>
      </c>
      <c r="AF17" t="str">
        <f t="shared" si="7"/>
        <v>Estimado/a C.P. ADEL  ALCALA HERNANDEZ
 PRESIDENTE
 CAMARA DE LA PROPIEDAD URBANA DE TORREON,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18" spans="1:32" ht="409.5" x14ac:dyDescent="0.25">
      <c r="A18" t="str">
        <f t="shared" si="0"/>
        <v xml:space="preserve">Estimado/a LIC. ANTONIO MARIO DAVILA VILLAR
 DELEGADO
 CANACAR REGIÓN LAGUNA  
</v>
      </c>
      <c r="B18" t="str">
        <f t="shared" si="1"/>
        <v>canacar_cl@hotmail.com;  torreon@canacar.com.mx</v>
      </c>
      <c r="C18" s="91" t="s">
        <v>591</v>
      </c>
      <c r="D18" s="90" t="s">
        <v>573</v>
      </c>
      <c r="E18" t="s">
        <v>590</v>
      </c>
      <c r="F18" s="96" t="s">
        <v>608</v>
      </c>
      <c r="G18" t="str">
        <f t="shared" si="2"/>
        <v>C:/Users/Brandon.Lopez/Documents/Trabajo/1906 Acuña/Cuestionarios empresas/Oficio para camaras/PDF/Oficio_17_CANACAR_REGIÓN_LAGUNA_.pdf</v>
      </c>
      <c r="H18" s="98" t="s">
        <v>580</v>
      </c>
      <c r="I18" t="str">
        <f t="shared" si="3"/>
        <v>C:/Users/Brandon.Lopez/Documents/Trabajo/1906 Acuña/Cuestionarios empresas/Oficio para camaras/Propuesta de invitación Transportistas.docx</v>
      </c>
      <c r="J18" t="s">
        <v>10</v>
      </c>
      <c r="K18" t="s">
        <v>117</v>
      </c>
      <c r="L18" t="s">
        <v>118</v>
      </c>
      <c r="M18" t="s">
        <v>119</v>
      </c>
      <c r="N18" t="s">
        <v>116</v>
      </c>
      <c r="O18" t="s">
        <v>120</v>
      </c>
      <c r="P18" t="s">
        <v>395</v>
      </c>
      <c r="Q18" t="s">
        <v>121</v>
      </c>
      <c r="R18" t="s">
        <v>106</v>
      </c>
      <c r="S18" t="s">
        <v>429</v>
      </c>
      <c r="T18" t="s">
        <v>584</v>
      </c>
      <c r="U18" t="s">
        <v>517</v>
      </c>
      <c r="W18" t="str">
        <f>VLOOKUP(S18,Hoja1!$A$1:$C$5,3,0)</f>
        <v>C:/Users/Brandon.Lopez/Documents/Trabajo/1906 Acuña/Cuestionarios empresas/Oficio para camaras/Propuesta de invitación Transportistas.docx</v>
      </c>
      <c r="X18" t="s">
        <v>582</v>
      </c>
      <c r="Y18" s="96" t="str">
        <f t="shared" si="4"/>
        <v xml:space="preserve">Estimado/a LIC. ANTONIO MARIO DAVILA VILLAR
 DELEGADO
 CANACAR REGIÓN LAGUNA  
</v>
      </c>
      <c r="Z18" s="92" t="s">
        <v>574</v>
      </c>
      <c r="AA18"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anónima.:https://forms.gle/6MtmXcSL3NRdJKFf7
</v>
      </c>
      <c r="AB18" s="96" t="s">
        <v>577</v>
      </c>
      <c r="AC18" s="94" t="str">
        <f t="shared" si="5"/>
        <v xml:space="preserve">Así mismo, se le reitera que la información que la Cámara o sus agremiados nos proporcionen, se mantendrá en total confidencialidad y será destinada únicamente para los propósitos de este proyecto.
</v>
      </c>
      <c r="AD18" s="94" t="s">
        <v>575</v>
      </c>
      <c r="AE18" s="95" t="str">
        <f t="shared" si="6"/>
        <v xml:space="preserve">
En espera de su respuesta, agradecemos de antemano su colaboración y quedamos a su disposición para una llamada por cualquier duda o aclaración que requiera. ¡Esperamos contar con su valioso apoyo!</v>
      </c>
      <c r="AF18" t="str">
        <f t="shared" si="7"/>
        <v>Estimado/a LIC. ANTONIO MARIO DAVILA VILLAR
 DELEGADO
 CANACAR REGIÓN LAGUNA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anónima.:https://forms.gle/6MtmXcSL3NRdJKFf7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19" spans="1:32" ht="409.5" x14ac:dyDescent="0.25">
      <c r="A19" t="str">
        <f t="shared" si="0"/>
        <v xml:space="preserve">Estimado/a ING.  THYRA ESTAVILLO BASURTO
 GERENTE
 CANACAR REGIÓN LAGUNA  
</v>
      </c>
      <c r="B19" t="str">
        <f t="shared" si="1"/>
        <v>canacar_cl@hotmail.com;  torreon@canacar.com.mx</v>
      </c>
      <c r="C19" s="91" t="s">
        <v>591</v>
      </c>
      <c r="D19" s="90" t="s">
        <v>573</v>
      </c>
      <c r="E19" t="s">
        <v>590</v>
      </c>
      <c r="F19" s="96" t="s">
        <v>609</v>
      </c>
      <c r="G19" t="str">
        <f t="shared" si="2"/>
        <v>C:/Users/Brandon.Lopez/Documents/Trabajo/1906 Acuña/Cuestionarios empresas/Oficio para camaras/PDF/Oficio_18_CANACAR_REGIÓN_LAGUNA_.pdf</v>
      </c>
      <c r="H19" s="98" t="s">
        <v>580</v>
      </c>
      <c r="I19" t="str">
        <f t="shared" si="3"/>
        <v>C:/Users/Brandon.Lopez/Documents/Trabajo/1906 Acuña/Cuestionarios empresas/Oficio para camaras/Propuesta de invitación Transportistas.docx</v>
      </c>
      <c r="J19" t="s">
        <v>68</v>
      </c>
      <c r="K19" t="s">
        <v>122</v>
      </c>
      <c r="L19" t="s">
        <v>123</v>
      </c>
      <c r="M19" t="s">
        <v>124</v>
      </c>
      <c r="N19" t="s">
        <v>116</v>
      </c>
      <c r="O19" t="s">
        <v>35</v>
      </c>
      <c r="P19" t="s">
        <v>395</v>
      </c>
      <c r="Q19" t="s">
        <v>121</v>
      </c>
      <c r="R19" t="s">
        <v>106</v>
      </c>
      <c r="S19" t="s">
        <v>429</v>
      </c>
      <c r="T19" t="s">
        <v>584</v>
      </c>
      <c r="U19" t="s">
        <v>518</v>
      </c>
      <c r="W19" t="str">
        <f>VLOOKUP(S19,Hoja1!$A$1:$C$5,3,0)</f>
        <v>C:/Users/Brandon.Lopez/Documents/Trabajo/1906 Acuña/Cuestionarios empresas/Oficio para camaras/Propuesta de invitación Transportistas.docx</v>
      </c>
      <c r="X19" t="s">
        <v>582</v>
      </c>
      <c r="Y19" s="96" t="str">
        <f t="shared" si="4"/>
        <v xml:space="preserve">Estimado/a ING.  THYRA ESTAVILLO BASURTO
 GERENTE
 CANACAR REGIÓN LAGUNA  
</v>
      </c>
      <c r="Z19" s="92" t="s">
        <v>574</v>
      </c>
      <c r="AA19"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anónima.:https://forms.gle/6MtmXcSL3NRdJKFf7
</v>
      </c>
      <c r="AB19" s="96" t="s">
        <v>577</v>
      </c>
      <c r="AC19" s="94" t="str">
        <f t="shared" si="5"/>
        <v xml:space="preserve">Así mismo, se le reitera que la información que la Cámara o sus agremiados nos proporcionen, se mantendrá en total confidencialidad y será destinada únicamente para los propósitos de este proyecto.
</v>
      </c>
      <c r="AD19" s="94" t="s">
        <v>575</v>
      </c>
      <c r="AE19" s="95" t="str">
        <f t="shared" si="6"/>
        <v xml:space="preserve">
En espera de su respuesta, agradecemos de antemano su colaboración y quedamos a su disposición para una llamada por cualquier duda o aclaración que requiera. ¡Esperamos contar con su valioso apoyo!</v>
      </c>
      <c r="AF19" t="str">
        <f t="shared" si="7"/>
        <v>Estimado/a ING.  THYRA ESTAVILLO BASURTO
 GERENTE
 CANACAR REGIÓN LAGUNA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anónima.:https://forms.gle/6MtmXcSL3NRdJKFf7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20" spans="1:32" ht="409.5" x14ac:dyDescent="0.25">
      <c r="A20" t="str">
        <f t="shared" si="0"/>
        <v xml:space="preserve">Estimado/a LIC. CATALYNA AYLEMA RIVAS BUSTAMANTE
 DIRECTORA GENERAL
 CANACO TORREON  
</v>
      </c>
      <c r="B20" t="str">
        <f t="shared" si="1"/>
        <v>direcciongeneral@canacotorreon.com.mx; asistentedireccion@canacotorreon.com.mx;</v>
      </c>
      <c r="C20" s="91" t="s">
        <v>591</v>
      </c>
      <c r="D20" s="90" t="s">
        <v>573</v>
      </c>
      <c r="E20" t="s">
        <v>590</v>
      </c>
      <c r="F20" s="96" t="s">
        <v>610</v>
      </c>
      <c r="G20" t="str">
        <f t="shared" si="2"/>
        <v>C:/Users/Brandon.Lopez/Documents/Trabajo/1906 Acuña/Cuestionarios empresas/Oficio para camaras/PDF/Oficio_19_CANACO_TORREON_.pdf</v>
      </c>
      <c r="H20" s="98" t="s">
        <v>580</v>
      </c>
      <c r="I20" t="str">
        <f t="shared" si="3"/>
        <v>C:/Users/Brandon.Lopez/Documents/Trabajo/1906 Acuña/Cuestionarios empresas/Oficio para camaras/Propuesta de invitación Comerciantes.docx</v>
      </c>
      <c r="J20" t="s">
        <v>10</v>
      </c>
      <c r="K20" t="s">
        <v>127</v>
      </c>
      <c r="L20" t="s">
        <v>128</v>
      </c>
      <c r="M20" t="s">
        <v>129</v>
      </c>
      <c r="N20" t="s">
        <v>126</v>
      </c>
      <c r="O20" t="s">
        <v>15</v>
      </c>
      <c r="P20" t="s">
        <v>396</v>
      </c>
      <c r="Q20" t="s">
        <v>472</v>
      </c>
      <c r="R20" t="s">
        <v>106</v>
      </c>
      <c r="S20" t="s">
        <v>430</v>
      </c>
      <c r="T20" t="s">
        <v>583</v>
      </c>
      <c r="U20" t="s">
        <v>519</v>
      </c>
      <c r="W20" t="str">
        <f>VLOOKUP(S20,Hoja1!$A$1:$C$5,3,0)</f>
        <v>C:/Users/Brandon.Lopez/Documents/Trabajo/1906 Acuña/Cuestionarios empresas/Oficio para camaras/Propuesta de invitación Comerciantes.docx</v>
      </c>
      <c r="X20" t="s">
        <v>582</v>
      </c>
      <c r="Y20" s="96" t="str">
        <f t="shared" si="4"/>
        <v xml:space="preserve">Estimado/a LIC. CATALYNA AYLEMA RIVAS BUSTAMANTE
 DIRECTORA GENERAL
 CANACO TORREON  
</v>
      </c>
      <c r="Z20" s="92" t="s">
        <v>574</v>
      </c>
      <c r="AA20"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v>
      </c>
      <c r="AB20" s="96" t="s">
        <v>577</v>
      </c>
      <c r="AC20" s="94" t="str">
        <f t="shared" si="5"/>
        <v xml:space="preserve">Así mismo, se le reitera que la información que la Cámara o sus agremiados nos proporcionen, se mantendrá en total confidencialidad y será destinada únicamente para los propósitos de este proyecto.
</v>
      </c>
      <c r="AD20" s="94" t="s">
        <v>575</v>
      </c>
      <c r="AE20" s="95" t="str">
        <f t="shared" si="6"/>
        <v xml:space="preserve">
En espera de su respuesta, agradecemos de antemano su colaboración y quedamos a su disposición para una llamada por cualquier duda o aclaración que requiera. ¡Esperamos contar con su valioso apoyo!</v>
      </c>
      <c r="AF20" t="str">
        <f t="shared" si="7"/>
        <v>Estimado/a LIC. CATALYNA AYLEMA RIVAS BUSTAMANTE
 DIRECTORA GENERAL
 CANACO TORREON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21" spans="1:32" ht="409.5" x14ac:dyDescent="0.25">
      <c r="A21" t="str">
        <f t="shared" si="0"/>
        <v xml:space="preserve">Estimado/a LIC.  TALIA ROMERO MUÑOZ
 DIRECTORA
 FOMENTO ECONÓMICO LAGUNA, A.C.  
</v>
      </c>
      <c r="B21" t="str">
        <f t="shared" si="1"/>
        <v>promero@fomec.org.mx</v>
      </c>
      <c r="C21" s="91" t="s">
        <v>591</v>
      </c>
      <c r="D21" s="90" t="s">
        <v>573</v>
      </c>
      <c r="E21" t="s">
        <v>590</v>
      </c>
      <c r="F21" s="96" t="s">
        <v>611</v>
      </c>
      <c r="G21" t="str">
        <f t="shared" si="2"/>
        <v>C:/Users/Brandon.Lopez/Documents/Trabajo/1906 Acuña/Cuestionarios empresas/Oficio para camaras/PDF/Oficio_20_FOMENTO_ECONÓMICO_LAGUNA__A.C._.pdf</v>
      </c>
      <c r="H21" s="98" t="s">
        <v>580</v>
      </c>
      <c r="I21" t="str">
        <f t="shared" si="3"/>
        <v>C:/Users/Brandon.Lopez/Documents/Trabajo/1906 Acuña/Cuestionarios empresas/Oficio para camaras/Propuesta de invitación Empresas.docx</v>
      </c>
      <c r="J21" t="s">
        <v>132</v>
      </c>
      <c r="K21" t="s">
        <v>133</v>
      </c>
      <c r="L21" t="s">
        <v>134</v>
      </c>
      <c r="M21" t="s">
        <v>125</v>
      </c>
      <c r="N21" t="s">
        <v>131</v>
      </c>
      <c r="O21" t="s">
        <v>142</v>
      </c>
      <c r="P21" t="s">
        <v>397</v>
      </c>
      <c r="Q21" t="s">
        <v>135</v>
      </c>
      <c r="R21" t="s">
        <v>106</v>
      </c>
      <c r="S21" t="s">
        <v>428</v>
      </c>
      <c r="T21" t="s">
        <v>581</v>
      </c>
      <c r="U21" t="s">
        <v>520</v>
      </c>
      <c r="W21" t="str">
        <f>VLOOKUP(S21,Hoja1!$A$1:$C$5,3,0)</f>
        <v>C:/Users/Brandon.Lopez/Documents/Trabajo/1906 Acuña/Cuestionarios empresas/Oficio para camaras/Propuesta de invitación Empresas.docx</v>
      </c>
      <c r="X21" t="s">
        <v>582</v>
      </c>
      <c r="Y21" s="96" t="str">
        <f t="shared" si="4"/>
        <v xml:space="preserve">Estimado/a LIC.  TALIA ROMERO MUÑOZ
 DIRECTORA
 FOMENTO ECONÓMICO LAGUNA, A.C.  
</v>
      </c>
      <c r="Z21" s="92" t="s">
        <v>574</v>
      </c>
      <c r="AA21"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21" s="96" t="s">
        <v>577</v>
      </c>
      <c r="AC21" s="94" t="str">
        <f t="shared" si="5"/>
        <v xml:space="preserve">Así mismo, se le reitera que la información que la Cámara o sus agremiados nos proporcionen, se mantendrá en total confidencialidad y será destinada únicamente para los propósitos de este proyecto.
</v>
      </c>
      <c r="AD21" s="94" t="s">
        <v>575</v>
      </c>
      <c r="AE21" s="95" t="str">
        <f t="shared" si="6"/>
        <v xml:space="preserve">
En espera de su respuesta, agradecemos de antemano su colaboración y quedamos a su disposición para una llamada por cualquier duda o aclaración que requiera. ¡Esperamos contar con su valioso apoyo!</v>
      </c>
      <c r="AF21" t="str">
        <f t="shared" si="7"/>
        <v>Estimado/a LIC.  TALIA ROMERO MUÑOZ
 DIRECTORA
 FOMENTO ECONÓMICO LAGUNA,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22" spans="1:32" ht="409.5" x14ac:dyDescent="0.25">
      <c r="A22" t="str">
        <f t="shared" si="0"/>
        <v xml:space="preserve">Estimado/a LIC. FERNANDO CARILLO BALDERAS
 DIRECTOR
 COPARMEX DELEGACIÓN LAGUNA 
</v>
      </c>
      <c r="B22" t="str">
        <f t="shared" si="1"/>
        <v xml:space="preserve">presidencia@coparmexlaguna.org.mx; capacitacion@coparmexlaguna.org.mx; direccion@coparmexlaguna.org.mx; </v>
      </c>
      <c r="C22" s="91" t="s">
        <v>591</v>
      </c>
      <c r="D22" s="90" t="s">
        <v>573</v>
      </c>
      <c r="E22" t="s">
        <v>590</v>
      </c>
      <c r="F22" s="96" t="s">
        <v>612</v>
      </c>
      <c r="G22" t="str">
        <f t="shared" si="2"/>
        <v>C:/Users/Brandon.Lopez/Documents/Trabajo/1906 Acuña/Cuestionarios empresas/Oficio para camaras/PDF/Oficio_21_COPARMEX_DELEGACIÓN_LAGUNA.pdf</v>
      </c>
      <c r="H22" s="98" t="s">
        <v>580</v>
      </c>
      <c r="I22" t="str">
        <f t="shared" si="3"/>
        <v>C:/Users/Brandon.Lopez/Documents/Trabajo/1906 Acuña/Cuestionarios empresas/Oficio para camaras/Propuesta de invitación Empresas.docx</v>
      </c>
      <c r="J22" t="s">
        <v>10</v>
      </c>
      <c r="K22" t="s">
        <v>139</v>
      </c>
      <c r="L22" t="s">
        <v>140</v>
      </c>
      <c r="M22" t="s">
        <v>141</v>
      </c>
      <c r="N22" t="s">
        <v>136</v>
      </c>
      <c r="O22" t="s">
        <v>42</v>
      </c>
      <c r="P22" t="s">
        <v>398</v>
      </c>
      <c r="Q22" t="s">
        <v>576</v>
      </c>
      <c r="R22" t="s">
        <v>106</v>
      </c>
      <c r="S22" t="s">
        <v>428</v>
      </c>
      <c r="T22" t="s">
        <v>581</v>
      </c>
      <c r="U22" t="s">
        <v>521</v>
      </c>
      <c r="W22" t="str">
        <f>VLOOKUP(S22,Hoja1!$A$1:$C$5,3,0)</f>
        <v>C:/Users/Brandon.Lopez/Documents/Trabajo/1906 Acuña/Cuestionarios empresas/Oficio para camaras/Propuesta de invitación Empresas.docx</v>
      </c>
      <c r="X22" t="s">
        <v>582</v>
      </c>
      <c r="Y22" s="96" t="str">
        <f t="shared" si="4"/>
        <v xml:space="preserve">Estimado/a LIC. FERNANDO CARILLO BALDERAS
 DIRECTOR
 COPARMEX DELEGACIÓN LAGUNA 
</v>
      </c>
      <c r="Z22" s="92" t="s">
        <v>574</v>
      </c>
      <c r="AA22"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22" s="96" t="s">
        <v>577</v>
      </c>
      <c r="AC22" s="94" t="str">
        <f t="shared" si="5"/>
        <v xml:space="preserve">Así mismo, se le reitera que la información que la Cámara o sus agremiados nos proporcionen, se mantendrá en total confidencialidad y será destinada únicamente para los propósitos de este proyecto.
</v>
      </c>
      <c r="AD22" s="94" t="s">
        <v>575</v>
      </c>
      <c r="AE22" s="95" t="str">
        <f t="shared" si="6"/>
        <v xml:space="preserve">
En espera de su respuesta, agradecemos de antemano su colaboración y quedamos a su disposición para una llamada por cualquier duda o aclaración que requiera. ¡Esperamos contar con su valioso apoyo!</v>
      </c>
      <c r="AF22" t="str">
        <f t="shared" si="7"/>
        <v>Estimado/a LIC. FERNANDO CARILLO BALDERAS
 DIRECTOR
 COPARMEX DELEGACIÓN LAGUNA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23" spans="1:32" ht="409.5" x14ac:dyDescent="0.25">
      <c r="A23" t="str">
        <f t="shared" si="0"/>
        <v xml:space="preserve">Estimado/a SR. LUIS JUAN MARCOS ISSA
 PRESIDENTE
 CÁMARA NACIONAL DE LA INDUSTRIA DEL VESTIDO DELEGACIÓN LAGUNA 
</v>
      </c>
      <c r="B23" t="str">
        <f t="shared" si="1"/>
        <v xml:space="preserve">jrobles@canainve.org; </v>
      </c>
      <c r="C23" s="91" t="s">
        <v>591</v>
      </c>
      <c r="D23" s="90" t="s">
        <v>573</v>
      </c>
      <c r="E23" t="s">
        <v>590</v>
      </c>
      <c r="F23" s="96" t="s">
        <v>613</v>
      </c>
      <c r="G23" t="str">
        <f t="shared" si="2"/>
        <v>C:/Users/Brandon.Lopez/Documents/Trabajo/1906 Acuña/Cuestionarios empresas/Oficio para camaras/PDF/Oficio_22_CÁMARA_NACIONAL_DE_LA_INDUSTRIA_DEL_VESTIDO_DELEGACIÓN_LAGUNA.pdf</v>
      </c>
      <c r="H23" s="98" t="s">
        <v>580</v>
      </c>
      <c r="I23" t="str">
        <f t="shared" si="3"/>
        <v>C:/Users/Brandon.Lopez/Documents/Trabajo/1906 Acuña/Cuestionarios empresas/Oficio para camaras/Propuesta de invitación Empresas.docx</v>
      </c>
      <c r="J23" t="s">
        <v>60</v>
      </c>
      <c r="K23" t="s">
        <v>144</v>
      </c>
      <c r="L23" t="s">
        <v>145</v>
      </c>
      <c r="M23" t="s">
        <v>146</v>
      </c>
      <c r="N23" t="s">
        <v>143</v>
      </c>
      <c r="O23" t="s">
        <v>44</v>
      </c>
      <c r="P23" t="s">
        <v>399</v>
      </c>
      <c r="Q23" t="s">
        <v>147</v>
      </c>
      <c r="R23" t="s">
        <v>106</v>
      </c>
      <c r="S23" t="s">
        <v>428</v>
      </c>
      <c r="T23" t="s">
        <v>581</v>
      </c>
      <c r="U23" t="s">
        <v>522</v>
      </c>
      <c r="W23" t="str">
        <f>VLOOKUP(S23,Hoja1!$A$1:$C$5,3,0)</f>
        <v>C:/Users/Brandon.Lopez/Documents/Trabajo/1906 Acuña/Cuestionarios empresas/Oficio para camaras/Propuesta de invitación Empresas.docx</v>
      </c>
      <c r="X23" t="s">
        <v>582</v>
      </c>
      <c r="Y23" s="96" t="str">
        <f t="shared" si="4"/>
        <v xml:space="preserve">Estimado/a SR. LUIS JUAN MARCOS ISSA
 PRESIDENTE
 CÁMARA NACIONAL DE LA INDUSTRIA DEL VESTIDO DELEGACIÓN LAGUNA 
</v>
      </c>
      <c r="Z23" s="92" t="s">
        <v>574</v>
      </c>
      <c r="AA23"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23" s="96" t="s">
        <v>577</v>
      </c>
      <c r="AC23" s="94" t="str">
        <f t="shared" si="5"/>
        <v xml:space="preserve">Así mismo, se le reitera que la información que la Cámara o sus agremiados nos proporcionen, se mantendrá en total confidencialidad y será destinada únicamente para los propósitos de este proyecto.
</v>
      </c>
      <c r="AD23" s="94" t="s">
        <v>575</v>
      </c>
      <c r="AE23" s="95" t="str">
        <f t="shared" si="6"/>
        <v xml:space="preserve">
En espera de su respuesta, agradecemos de antemano su colaboración y quedamos a su disposición para una llamada por cualquier duda o aclaración que requiera. ¡Esperamos contar con su valioso apoyo!</v>
      </c>
      <c r="AF23" t="str">
        <f t="shared" si="7"/>
        <v>Estimado/a SR. LUIS JUAN MARCOS ISSA
 PRESIDENTE
 CÁMARA NACIONAL DE LA INDUSTRIA DEL VESTIDO DELEGACIÓN LAGUNA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24" spans="1:32" ht="409.5" x14ac:dyDescent="0.25">
      <c r="A24" t="str">
        <f t="shared" si="0"/>
        <v xml:space="preserve">Estimado/a LIC.  ABERLARDO ANTERO FERANDEZ CAVAZOS
 PRESIDENTE
 CANACO SAN PEDRO 
</v>
      </c>
      <c r="B24" t="str">
        <f t="shared" si="1"/>
        <v>top_veterinaria@yahoo.com.mx; laura4luna@yahoo.com.mx;</v>
      </c>
      <c r="C24" s="91" t="s">
        <v>591</v>
      </c>
      <c r="D24" s="90" t="s">
        <v>573</v>
      </c>
      <c r="E24" t="s">
        <v>590</v>
      </c>
      <c r="F24" s="96" t="s">
        <v>614</v>
      </c>
      <c r="G24" t="str">
        <f t="shared" si="2"/>
        <v>C:/Users/Brandon.Lopez/Documents/Trabajo/1906 Acuña/Cuestionarios empresas/Oficio para camaras/PDF/Oficio_23_CANACO_SAN_PEDRO.pdf</v>
      </c>
      <c r="H24" s="98" t="s">
        <v>580</v>
      </c>
      <c r="I24" t="str">
        <f t="shared" si="3"/>
        <v>C:/Users/Brandon.Lopez/Documents/Trabajo/1906 Acuña/Cuestionarios empresas/Oficio para camaras/Propuesta de invitación Comerciantes.docx</v>
      </c>
      <c r="J24" t="s">
        <v>132</v>
      </c>
      <c r="K24" t="s">
        <v>149</v>
      </c>
      <c r="L24" t="s">
        <v>150</v>
      </c>
      <c r="M24" t="s">
        <v>151</v>
      </c>
      <c r="N24" t="s">
        <v>148</v>
      </c>
      <c r="O24" t="s">
        <v>44</v>
      </c>
      <c r="P24" t="s">
        <v>400</v>
      </c>
      <c r="Q24" t="s">
        <v>152</v>
      </c>
      <c r="R24" t="s">
        <v>153</v>
      </c>
      <c r="S24" t="s">
        <v>430</v>
      </c>
      <c r="T24" t="s">
        <v>583</v>
      </c>
      <c r="U24" t="s">
        <v>523</v>
      </c>
      <c r="W24" t="str">
        <f>VLOOKUP(S24,Hoja1!$A$1:$C$5,3,0)</f>
        <v>C:/Users/Brandon.Lopez/Documents/Trabajo/1906 Acuña/Cuestionarios empresas/Oficio para camaras/Propuesta de invitación Comerciantes.docx</v>
      </c>
      <c r="X24" t="s">
        <v>582</v>
      </c>
      <c r="Y24" s="96" t="str">
        <f t="shared" si="4"/>
        <v xml:space="preserve">Estimado/a LIC.  ABERLARDO ANTERO FERANDEZ CAVAZOS
 PRESIDENTE
 CANACO SAN PEDRO 
</v>
      </c>
      <c r="Z24" s="92" t="s">
        <v>574</v>
      </c>
      <c r="AA24"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v>
      </c>
      <c r="AB24" s="96" t="s">
        <v>577</v>
      </c>
      <c r="AC24" s="94" t="str">
        <f t="shared" si="5"/>
        <v xml:space="preserve">Así mismo, se le reitera que la información que la Cámara o sus agremiados nos proporcionen, se mantendrá en total confidencialidad y será destinada únicamente para los propósitos de este proyecto.
</v>
      </c>
      <c r="AD24" s="94" t="s">
        <v>575</v>
      </c>
      <c r="AE24" s="95" t="str">
        <f t="shared" si="6"/>
        <v xml:space="preserve">
En espera de su respuesta, agradecemos de antemano su colaboración y quedamos a su disposición para una llamada por cualquier duda o aclaración que requiera. ¡Esperamos contar con su valioso apoyo!</v>
      </c>
      <c r="AF24" t="str">
        <f t="shared" si="7"/>
        <v>Estimado/a LIC.  ABERLARDO ANTERO FERANDEZ CAVAZOS
 PRESIDENTE
 CANACO SAN PEDRO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25" spans="1:32" ht="409.5" x14ac:dyDescent="0.25">
      <c r="A25" t="str">
        <f t="shared" si="0"/>
        <v xml:space="preserve">Estimado/a C.P. OSCAR SALOMON MILAN ABAD
 COORDINADOR NACIONAL DE ASESORES DE DELEGACIONES
 CANACINTRA 
</v>
      </c>
      <c r="B25" t="str">
        <f t="shared" si="1"/>
        <v>top_veterinaria@yahoo.com.mx; laura4luna@yahoo.com.mx;</v>
      </c>
      <c r="C25" s="91" t="s">
        <v>591</v>
      </c>
      <c r="D25" s="90" t="s">
        <v>573</v>
      </c>
      <c r="E25" t="s">
        <v>590</v>
      </c>
      <c r="F25" s="96" t="s">
        <v>615</v>
      </c>
      <c r="G25" t="str">
        <f t="shared" si="2"/>
        <v>C:/Users/Brandon.Lopez/Documents/Trabajo/1906 Acuña/Cuestionarios empresas/Oficio para camaras/PDF/Oficio_24_CANACINTRA.pdf</v>
      </c>
      <c r="H25" s="98" t="s">
        <v>580</v>
      </c>
      <c r="I25" t="str">
        <f t="shared" si="3"/>
        <v>C:/Users/Brandon.Lopez/Documents/Trabajo/1906 Acuña/Cuestionarios empresas/Oficio para camaras/Propuesta de invitación Empresas.docx</v>
      </c>
      <c r="J25" t="s">
        <v>54</v>
      </c>
      <c r="K25" t="s">
        <v>154</v>
      </c>
      <c r="L25" t="s">
        <v>155</v>
      </c>
      <c r="M25" t="s">
        <v>156</v>
      </c>
      <c r="N25" t="s">
        <v>157</v>
      </c>
      <c r="O25" t="s">
        <v>158</v>
      </c>
      <c r="P25" t="s">
        <v>400</v>
      </c>
      <c r="Q25" t="s">
        <v>152</v>
      </c>
      <c r="R25" t="s">
        <v>153</v>
      </c>
      <c r="S25" t="s">
        <v>428</v>
      </c>
      <c r="T25" t="s">
        <v>581</v>
      </c>
      <c r="U25" t="s">
        <v>524</v>
      </c>
      <c r="W25" t="str">
        <f>VLOOKUP(S25,Hoja1!$A$1:$C$5,3,0)</f>
        <v>C:/Users/Brandon.Lopez/Documents/Trabajo/1906 Acuña/Cuestionarios empresas/Oficio para camaras/Propuesta de invitación Empresas.docx</v>
      </c>
      <c r="X25" t="s">
        <v>582</v>
      </c>
      <c r="Y25" s="96" t="str">
        <f t="shared" si="4"/>
        <v xml:space="preserve">Estimado/a C.P. OSCAR SALOMON MILAN ABAD
 COORDINADOR NACIONAL DE ASESORES DE DELEGACIONES
 CANACINTRA 
</v>
      </c>
      <c r="Z25" s="92" t="s">
        <v>574</v>
      </c>
      <c r="AA25"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25" s="96" t="s">
        <v>577</v>
      </c>
      <c r="AC25" s="94" t="str">
        <f t="shared" si="5"/>
        <v xml:space="preserve">Así mismo, se le reitera que la información que la Cámara o sus agremiados nos proporcionen, se mantendrá en total confidencialidad y será destinada únicamente para los propósitos de este proyecto.
</v>
      </c>
      <c r="AD25" s="94" t="s">
        <v>575</v>
      </c>
      <c r="AE25" s="95" t="str">
        <f t="shared" si="6"/>
        <v xml:space="preserve">
En espera de su respuesta, agradecemos de antemano su colaboración y quedamos a su disposición para una llamada por cualquier duda o aclaración que requiera. ¡Esperamos contar con su valioso apoyo!</v>
      </c>
      <c r="AF25" t="str">
        <f t="shared" si="7"/>
        <v>Estimado/a C.P. OSCAR SALOMON MILAN ABAD
 COORDINADOR NACIONAL DE ASESORES DE DELEGACIONES
 CANACINTRA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26" spans="1:32" ht="409.5" x14ac:dyDescent="0.25">
      <c r="A26" t="str">
        <f t="shared" si="0"/>
        <v xml:space="preserve">Estimado/a ING. MARIO IGNACIO VALDÉS  QUINTANILLA
 PRESIDENTE
 CÁMARA AGRÍCOLA Y GANADERA DE TORREÓN, A.C. 
</v>
      </c>
      <c r="B26" t="str">
        <f t="shared" si="1"/>
        <v>gerencia@camaraagricolayganadera.org; asistentepdte@camaraagricolayganadera.org;</v>
      </c>
      <c r="C26" s="91" t="s">
        <v>591</v>
      </c>
      <c r="D26" s="90" t="s">
        <v>573</v>
      </c>
      <c r="E26" t="s">
        <v>590</v>
      </c>
      <c r="F26" s="96" t="s">
        <v>616</v>
      </c>
      <c r="G26" t="str">
        <f t="shared" si="2"/>
        <v>C:/Users/Brandon.Lopez/Documents/Trabajo/1906 Acuña/Cuestionarios empresas/Oficio para camaras/PDF/Oficio_25_CÁMARA_AGRÍCOLA_Y_GANADERA_DE_TORREÓN__A.C..pdf</v>
      </c>
      <c r="H26" s="98" t="s">
        <v>580</v>
      </c>
      <c r="I26" t="str">
        <f t="shared" si="3"/>
        <v>C:/Users/Brandon.Lopez/Documents/Trabajo/1906 Acuña/Cuestionarios empresas/Oficio para camaras/Propuesta de invitación Empresas.docx</v>
      </c>
      <c r="J26" t="s">
        <v>18</v>
      </c>
      <c r="K26" t="s">
        <v>160</v>
      </c>
      <c r="L26" t="s">
        <v>161</v>
      </c>
      <c r="M26" t="s">
        <v>162</v>
      </c>
      <c r="N26" t="s">
        <v>159</v>
      </c>
      <c r="O26" t="s">
        <v>44</v>
      </c>
      <c r="P26" t="s">
        <v>401</v>
      </c>
      <c r="Q26" t="s">
        <v>163</v>
      </c>
      <c r="R26" t="s">
        <v>106</v>
      </c>
      <c r="S26" t="s">
        <v>428</v>
      </c>
      <c r="T26" t="s">
        <v>581</v>
      </c>
      <c r="U26" t="s">
        <v>525</v>
      </c>
      <c r="W26" t="str">
        <f>VLOOKUP(S26,Hoja1!$A$1:$C$5,3,0)</f>
        <v>C:/Users/Brandon.Lopez/Documents/Trabajo/1906 Acuña/Cuestionarios empresas/Oficio para camaras/Propuesta de invitación Empresas.docx</v>
      </c>
      <c r="X26" t="s">
        <v>582</v>
      </c>
      <c r="Y26" s="96" t="str">
        <f t="shared" si="4"/>
        <v xml:space="preserve">Estimado/a ING. MARIO IGNACIO VALDÉS  QUINTANILLA
 PRESIDENTE
 CÁMARA AGRÍCOLA Y GANADERA DE TORREÓN, A.C. 
</v>
      </c>
      <c r="Z26" s="92" t="s">
        <v>574</v>
      </c>
      <c r="AA26"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26" s="96" t="s">
        <v>577</v>
      </c>
      <c r="AC26" s="94" t="str">
        <f t="shared" si="5"/>
        <v xml:space="preserve">Así mismo, se le reitera que la información que la Cámara o sus agremiados nos proporcionen, se mantendrá en total confidencialidad y será destinada únicamente para los propósitos de este proyecto.
</v>
      </c>
      <c r="AD26" s="94" t="s">
        <v>575</v>
      </c>
      <c r="AE26" s="95" t="str">
        <f t="shared" si="6"/>
        <v xml:space="preserve">
En espera de su respuesta, agradecemos de antemano su colaboración y quedamos a su disposición para una llamada por cualquier duda o aclaración que requiera. ¡Esperamos contar con su valioso apoyo!</v>
      </c>
      <c r="AF26" t="str">
        <f t="shared" si="7"/>
        <v>Estimado/a ING. MARIO IGNACIO VALDÉS  QUINTANILLA
 PRESIDENTE
 CÁMARA AGRÍCOLA Y GANADERA DE TORREÓN,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27" spans="1:32" ht="409.5" x14ac:dyDescent="0.25">
      <c r="A27" t="str">
        <f t="shared" si="0"/>
        <v xml:space="preserve">Estimado/a ING. MARIA LUISA MORALES SALAS
 DIRECTORA
  CLUSTER AUTOMOTRIZ LAGUNA 
</v>
      </c>
      <c r="B27" t="str">
        <f t="shared" si="1"/>
        <v>luisa.morales@clusterautomotrizlaguna.com; administracion@stampl.mx;</v>
      </c>
      <c r="C27" s="91" t="s">
        <v>591</v>
      </c>
      <c r="D27" s="90" t="s">
        <v>573</v>
      </c>
      <c r="E27" t="s">
        <v>590</v>
      </c>
      <c r="F27" s="96" t="s">
        <v>617</v>
      </c>
      <c r="G27" t="str">
        <f t="shared" si="2"/>
        <v>C:/Users/Brandon.Lopez/Documents/Trabajo/1906 Acuña/Cuestionarios empresas/Oficio para camaras/PDF/Oficio_26__CLUSTER_AUTOMOTRIZ_LAGUNA.pdf</v>
      </c>
      <c r="H27" s="98" t="s">
        <v>580</v>
      </c>
      <c r="I27" t="str">
        <f t="shared" si="3"/>
        <v>C:/Users/Brandon.Lopez/Documents/Trabajo/1906 Acuña/Cuestionarios empresas/Oficio para camaras/Propuesta de invitación Empresas.docx</v>
      </c>
      <c r="J27" t="s">
        <v>18</v>
      </c>
      <c r="K27" t="s">
        <v>165</v>
      </c>
      <c r="L27" t="s">
        <v>166</v>
      </c>
      <c r="M27" t="s">
        <v>167</v>
      </c>
      <c r="N27" t="s">
        <v>164</v>
      </c>
      <c r="O27" t="s">
        <v>142</v>
      </c>
      <c r="P27" t="s">
        <v>402</v>
      </c>
      <c r="Q27" t="s">
        <v>169</v>
      </c>
      <c r="R27" t="s">
        <v>106</v>
      </c>
      <c r="S27" t="s">
        <v>428</v>
      </c>
      <c r="T27" t="s">
        <v>581</v>
      </c>
      <c r="U27" t="s">
        <v>526</v>
      </c>
      <c r="W27" t="str">
        <f>VLOOKUP(S27,Hoja1!$A$1:$C$5,3,0)</f>
        <v>C:/Users/Brandon.Lopez/Documents/Trabajo/1906 Acuña/Cuestionarios empresas/Oficio para camaras/Propuesta de invitación Empresas.docx</v>
      </c>
      <c r="X27" t="s">
        <v>582</v>
      </c>
      <c r="Y27" s="96" t="str">
        <f t="shared" si="4"/>
        <v xml:space="preserve">Estimado/a ING. MARIA LUISA MORALES SALAS
 DIRECTORA
  CLUSTER AUTOMOTRIZ LAGUNA 
</v>
      </c>
      <c r="Z27" s="92" t="s">
        <v>574</v>
      </c>
      <c r="AA27"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27" s="96" t="s">
        <v>577</v>
      </c>
      <c r="AC27" s="94" t="str">
        <f t="shared" si="5"/>
        <v xml:space="preserve">Así mismo, se le reitera que la información que la Cámara o sus agremiados nos proporcionen, se mantendrá en total confidencialidad y será destinada únicamente para los propósitos de este proyecto.
</v>
      </c>
      <c r="AD27" s="94" t="s">
        <v>575</v>
      </c>
      <c r="AE27" s="95" t="str">
        <f t="shared" si="6"/>
        <v xml:space="preserve">
En espera de su respuesta, agradecemos de antemano su colaboración y quedamos a su disposición para una llamada por cualquier duda o aclaración que requiera. ¡Esperamos contar con su valioso apoyo!</v>
      </c>
      <c r="AF27" t="str">
        <f t="shared" si="7"/>
        <v>Estimado/a ING. MARIA LUISA MORALES SALAS
 DIRECTORA
  CLUSTER AUTOMOTRIZ LAGUNA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28" spans="1:32" ht="409.5" x14ac:dyDescent="0.25">
      <c r="A28" t="str">
        <f t="shared" si="0"/>
        <v xml:space="preserve">Estimado/a LIC. MARCELA MARRERO SARQUIS
 DIRECTOR
 CANADEVI DELEGACIÓN COMARCA LAGUNERA 
</v>
      </c>
      <c r="B28" t="str">
        <f t="shared" si="1"/>
        <v>admonlaguna@canadevi.com.mx; la_laguna@canadevi.com.mx;</v>
      </c>
      <c r="C28" s="91" t="s">
        <v>591</v>
      </c>
      <c r="D28" s="90" t="s">
        <v>573</v>
      </c>
      <c r="E28" t="s">
        <v>590</v>
      </c>
      <c r="F28" s="96" t="s">
        <v>618</v>
      </c>
      <c r="G28" t="str">
        <f t="shared" si="2"/>
        <v>C:/Users/Brandon.Lopez/Documents/Trabajo/1906 Acuña/Cuestionarios empresas/Oficio para camaras/PDF/Oficio_27_CANADEVI_DELEGACIÓN_COMARCA_LAGUNERA.pdf</v>
      </c>
      <c r="H28" s="98" t="s">
        <v>580</v>
      </c>
      <c r="I28" t="str">
        <f t="shared" si="3"/>
        <v>C:/Users/Brandon.Lopez/Documents/Trabajo/1906 Acuña/Cuestionarios empresas/Oficio para camaras/Propuesta de invitación Empresas.docx</v>
      </c>
      <c r="J28" t="s">
        <v>10</v>
      </c>
      <c r="K28" t="s">
        <v>487</v>
      </c>
      <c r="L28" t="s">
        <v>488</v>
      </c>
      <c r="M28" t="s">
        <v>489</v>
      </c>
      <c r="N28" t="s">
        <v>170</v>
      </c>
      <c r="O28" t="s">
        <v>42</v>
      </c>
      <c r="P28" t="s">
        <v>403</v>
      </c>
      <c r="Q28" t="s">
        <v>173</v>
      </c>
      <c r="R28" t="s">
        <v>106</v>
      </c>
      <c r="S28" t="s">
        <v>428</v>
      </c>
      <c r="T28" t="s">
        <v>581</v>
      </c>
      <c r="U28" t="s">
        <v>527</v>
      </c>
      <c r="W28" t="str">
        <f>VLOOKUP(S28,Hoja1!$A$1:$C$5,3,0)</f>
        <v>C:/Users/Brandon.Lopez/Documents/Trabajo/1906 Acuña/Cuestionarios empresas/Oficio para camaras/Propuesta de invitación Empresas.docx</v>
      </c>
      <c r="X28" t="s">
        <v>582</v>
      </c>
      <c r="Y28" s="96" t="str">
        <f t="shared" si="4"/>
        <v xml:space="preserve">Estimado/a LIC. MARCELA MARRERO SARQUIS
 DIRECTOR
 CANADEVI DELEGACIÓN COMARCA LAGUNERA 
</v>
      </c>
      <c r="Z28" s="92" t="s">
        <v>574</v>
      </c>
      <c r="AA28"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28" s="96" t="s">
        <v>577</v>
      </c>
      <c r="AC28" s="94" t="str">
        <f t="shared" si="5"/>
        <v xml:space="preserve">Así mismo, se le reitera que la información que la Cámara o sus agremiados nos proporcionen, se mantendrá en total confidencialidad y será destinada únicamente para los propósitos de este proyecto.
</v>
      </c>
      <c r="AD28" s="94" t="s">
        <v>575</v>
      </c>
      <c r="AE28" s="95" t="str">
        <f t="shared" si="6"/>
        <v xml:space="preserve">
En espera de su respuesta, agradecemos de antemano su colaboración y quedamos a su disposición para una llamada por cualquier duda o aclaración que requiera. ¡Esperamos contar con su valioso apoyo!</v>
      </c>
      <c r="AF28" t="str">
        <f t="shared" si="7"/>
        <v>Estimado/a LIC. MARCELA MARRERO SARQUIS
 DIRECTOR
 CANADEVI DELEGACIÓN COMARCA LAGUNERA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29" spans="1:32" ht="409.5" x14ac:dyDescent="0.25">
      <c r="A29" t="str">
        <f t="shared" si="0"/>
        <v xml:space="preserve">Estimado/a LIC. OSCAR ALBERTO DE ÁVILA ALFARO
 PRESIDENTE
 CANACO MATAMOROS 
</v>
      </c>
      <c r="B29" t="str">
        <f t="shared" si="1"/>
        <v>deavilagrupo@hotmail.com</v>
      </c>
      <c r="C29" s="91" t="s">
        <v>591</v>
      </c>
      <c r="D29" s="90" t="s">
        <v>573</v>
      </c>
      <c r="E29" t="s">
        <v>590</v>
      </c>
      <c r="F29" s="96" t="s">
        <v>619</v>
      </c>
      <c r="G29" t="str">
        <f t="shared" si="2"/>
        <v>C:/Users/Brandon.Lopez/Documents/Trabajo/1906 Acuña/Cuestionarios empresas/Oficio para camaras/PDF/Oficio_28_CANACO_MATAMOROS.pdf</v>
      </c>
      <c r="H29" s="98" t="s">
        <v>580</v>
      </c>
      <c r="I29" t="str">
        <f t="shared" si="3"/>
        <v>C:/Users/Brandon.Lopez/Documents/Trabajo/1906 Acuña/Cuestionarios empresas/Oficio para camaras/Propuesta de invitación Comerciantes.docx</v>
      </c>
      <c r="J29" t="s">
        <v>10</v>
      </c>
      <c r="K29" t="s">
        <v>180</v>
      </c>
      <c r="L29" t="s">
        <v>181</v>
      </c>
      <c r="M29" t="s">
        <v>182</v>
      </c>
      <c r="N29" t="s">
        <v>179</v>
      </c>
      <c r="O29" t="s">
        <v>44</v>
      </c>
      <c r="P29" t="s">
        <v>404</v>
      </c>
      <c r="Q29" t="s">
        <v>183</v>
      </c>
      <c r="R29" t="s">
        <v>392</v>
      </c>
      <c r="S29" t="s">
        <v>430</v>
      </c>
      <c r="T29" t="s">
        <v>583</v>
      </c>
      <c r="U29" t="s">
        <v>528</v>
      </c>
      <c r="W29" t="str">
        <f>VLOOKUP(S29,Hoja1!$A$1:$C$5,3,0)</f>
        <v>C:/Users/Brandon.Lopez/Documents/Trabajo/1906 Acuña/Cuestionarios empresas/Oficio para camaras/Propuesta de invitación Comerciantes.docx</v>
      </c>
      <c r="X29" t="s">
        <v>582</v>
      </c>
      <c r="Y29" s="96" t="str">
        <f t="shared" si="4"/>
        <v xml:space="preserve">Estimado/a LIC. OSCAR ALBERTO DE ÁVILA ALFARO
 PRESIDENTE
 CANACO MATAMOROS 
</v>
      </c>
      <c r="Z29" s="92" t="s">
        <v>574</v>
      </c>
      <c r="AA29"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v>
      </c>
      <c r="AB29" s="96" t="s">
        <v>577</v>
      </c>
      <c r="AC29" s="94" t="str">
        <f t="shared" si="5"/>
        <v xml:space="preserve">Así mismo, se le reitera que la información que la Cámara o sus agremiados nos proporcionen, se mantendrá en total confidencialidad y será destinada únicamente para los propósitos de este proyecto.
</v>
      </c>
      <c r="AD29" s="94" t="s">
        <v>575</v>
      </c>
      <c r="AE29" s="95" t="str">
        <f t="shared" si="6"/>
        <v xml:space="preserve">
En espera de su respuesta, agradecemos de antemano su colaboración y quedamos a su disposición para una llamada por cualquier duda o aclaración que requiera. ¡Esperamos contar con su valioso apoyo!</v>
      </c>
      <c r="AF29" t="str">
        <f t="shared" si="7"/>
        <v>Estimado/a LIC. OSCAR ALBERTO DE ÁVILA ALFARO
 PRESIDENTE
 CANACO MATAMOROS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30" spans="1:32" ht="409.5" x14ac:dyDescent="0.25">
      <c r="A30" t="str">
        <f t="shared" si="0"/>
        <v xml:space="preserve">Estimado/a LIC. EDUARDO NIETO MENDOZA
 PRESIDENTE
 CANIRAC 
</v>
      </c>
      <c r="B30" t="str">
        <f t="shared" si="1"/>
        <v>torreon@canirac.org.mx;</v>
      </c>
      <c r="C30" s="91" t="s">
        <v>591</v>
      </c>
      <c r="D30" s="90" t="s">
        <v>573</v>
      </c>
      <c r="E30" t="s">
        <v>590</v>
      </c>
      <c r="F30" s="96" t="s">
        <v>620</v>
      </c>
      <c r="G30" t="str">
        <f t="shared" si="2"/>
        <v>C:/Users/Brandon.Lopez/Documents/Trabajo/1906 Acuña/Cuestionarios empresas/Oficio para camaras/PDF/Oficio_29_CANIRAC.pdf</v>
      </c>
      <c r="H30" s="98" t="s">
        <v>580</v>
      </c>
      <c r="I30" t="str">
        <f t="shared" si="3"/>
        <v>C:/Users/Brandon.Lopez/Documents/Trabajo/1906 Acuña/Cuestionarios empresas/Oficio para camaras/Propuesta de invitación Comerciantes.docx</v>
      </c>
      <c r="J30" t="s">
        <v>10</v>
      </c>
      <c r="K30" t="s">
        <v>490</v>
      </c>
      <c r="L30" t="s">
        <v>491</v>
      </c>
      <c r="M30" t="s">
        <v>492</v>
      </c>
      <c r="N30" t="s">
        <v>187</v>
      </c>
      <c r="O30" t="s">
        <v>44</v>
      </c>
      <c r="P30" t="s">
        <v>406</v>
      </c>
      <c r="Q30" t="s">
        <v>189</v>
      </c>
      <c r="R30" t="s">
        <v>106</v>
      </c>
      <c r="S30" t="s">
        <v>430</v>
      </c>
      <c r="T30" t="s">
        <v>583</v>
      </c>
      <c r="U30" t="s">
        <v>529</v>
      </c>
      <c r="W30" t="str">
        <f>VLOOKUP(S30,Hoja1!$A$1:$C$5,3,0)</f>
        <v>C:/Users/Brandon.Lopez/Documents/Trabajo/1906 Acuña/Cuestionarios empresas/Oficio para camaras/Propuesta de invitación Comerciantes.docx</v>
      </c>
      <c r="X30" t="s">
        <v>582</v>
      </c>
      <c r="Y30" s="96" t="str">
        <f t="shared" si="4"/>
        <v xml:space="preserve">Estimado/a LIC. EDUARDO NIETO MENDOZA
 PRESIDENTE
 CANIRAC 
</v>
      </c>
      <c r="Z30" s="92" t="s">
        <v>574</v>
      </c>
      <c r="AA30"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v>
      </c>
      <c r="AB30" s="96" t="s">
        <v>577</v>
      </c>
      <c r="AC30" s="94" t="str">
        <f t="shared" si="5"/>
        <v xml:space="preserve">Así mismo, se le reitera que la información que la Cámara o sus agremiados nos proporcionen, se mantendrá en total confidencialidad y será destinada únicamente para los propósitos de este proyecto.
</v>
      </c>
      <c r="AD30" s="94" t="s">
        <v>575</v>
      </c>
      <c r="AE30" s="95" t="str">
        <f t="shared" si="6"/>
        <v xml:space="preserve">
En espera de su respuesta, agradecemos de antemano su colaboración y quedamos a su disposición para una llamada por cualquier duda o aclaración que requiera. ¡Esperamos contar con su valioso apoyo!</v>
      </c>
      <c r="AF30" t="str">
        <f t="shared" si="7"/>
        <v>Estimado/a LIC. EDUARDO NIETO MENDOZA
 PRESIDENTE
 CANIRAC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31" spans="1:32" ht="409.5" x14ac:dyDescent="0.25">
      <c r="A31" t="str">
        <f t="shared" si="0"/>
        <v xml:space="preserve">Estimado/a C.P. TANIA  LIMONES REYES
 DIRECTORA
 CANIETI COAHUILA-DURANGO 
</v>
      </c>
      <c r="B31" t="str">
        <f t="shared" si="1"/>
        <v>direccion@canieticd.org;</v>
      </c>
      <c r="C31" s="91" t="s">
        <v>591</v>
      </c>
      <c r="D31" s="90" t="s">
        <v>573</v>
      </c>
      <c r="E31" t="s">
        <v>590</v>
      </c>
      <c r="F31" s="96" t="s">
        <v>621</v>
      </c>
      <c r="G31" t="str">
        <f t="shared" si="2"/>
        <v>C:/Users/Brandon.Lopez/Documents/Trabajo/1906 Acuña/Cuestionarios empresas/Oficio para camaras/PDF/Oficio_30_CANIETI_COAHUILA-DURANGO.pdf</v>
      </c>
      <c r="H31" s="98" t="s">
        <v>580</v>
      </c>
      <c r="I31" t="str">
        <f t="shared" si="3"/>
        <v>C:/Users/Brandon.Lopez/Documents/Trabajo/1906 Acuña/Cuestionarios empresas/Oficio para camaras/Propuesta de invitación Empresas.docx</v>
      </c>
      <c r="J31" t="s">
        <v>54</v>
      </c>
      <c r="K31" t="s">
        <v>191</v>
      </c>
      <c r="L31" t="s">
        <v>192</v>
      </c>
      <c r="M31" t="s">
        <v>137</v>
      </c>
      <c r="N31" t="s">
        <v>190</v>
      </c>
      <c r="O31" t="s">
        <v>142</v>
      </c>
      <c r="P31" t="s">
        <v>407</v>
      </c>
      <c r="Q31" t="s">
        <v>193</v>
      </c>
      <c r="R31" t="s">
        <v>106</v>
      </c>
      <c r="S31" t="s">
        <v>428</v>
      </c>
      <c r="T31" t="s">
        <v>581</v>
      </c>
      <c r="U31" t="s">
        <v>530</v>
      </c>
      <c r="W31" t="str">
        <f>VLOOKUP(S31,Hoja1!$A$1:$C$5,3,0)</f>
        <v>C:/Users/Brandon.Lopez/Documents/Trabajo/1906 Acuña/Cuestionarios empresas/Oficio para camaras/Propuesta de invitación Empresas.docx</v>
      </c>
      <c r="X31" t="s">
        <v>582</v>
      </c>
      <c r="Y31" s="96" t="str">
        <f t="shared" si="4"/>
        <v xml:space="preserve">Estimado/a C.P. TANIA  LIMONES REYES
 DIRECTORA
 CANIETI COAHUILA-DURANGO 
</v>
      </c>
      <c r="Z31" s="92" t="s">
        <v>574</v>
      </c>
      <c r="AA31"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31" s="96" t="s">
        <v>577</v>
      </c>
      <c r="AC31" s="94" t="str">
        <f t="shared" si="5"/>
        <v xml:space="preserve">Así mismo, se le reitera que la información que la Cámara o sus agremiados nos proporcionen, se mantendrá en total confidencialidad y será destinada únicamente para los propósitos de este proyecto.
</v>
      </c>
      <c r="AD31" s="94" t="s">
        <v>575</v>
      </c>
      <c r="AE31" s="95" t="str">
        <f t="shared" si="6"/>
        <v xml:space="preserve">
En espera de su respuesta, agradecemos de antemano su colaboración y quedamos a su disposición para una llamada por cualquier duda o aclaración que requiera. ¡Esperamos contar con su valioso apoyo!</v>
      </c>
      <c r="AF31" t="str">
        <f t="shared" si="7"/>
        <v>Estimado/a C.P. TANIA  LIMONES REYES
 DIRECTORA
 CANIETI COAHUILA-DURANGO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32" spans="1:32" ht="409.5" x14ac:dyDescent="0.25">
      <c r="A32" t="str">
        <f t="shared" si="0"/>
        <v xml:space="preserve">Estimado/a LIC PERLA GUADALUPE AGUILERA BAÑUELO
 PRESIDENTE
 CANACO MADERO 
</v>
      </c>
      <c r="B32" t="str">
        <f t="shared" si="1"/>
        <v>canaco.madero@outlook.com;</v>
      </c>
      <c r="C32" s="91" t="s">
        <v>591</v>
      </c>
      <c r="D32" s="90" t="s">
        <v>573</v>
      </c>
      <c r="E32" t="s">
        <v>590</v>
      </c>
      <c r="F32" s="96" t="s">
        <v>622</v>
      </c>
      <c r="G32" t="str">
        <f t="shared" si="2"/>
        <v>C:/Users/Brandon.Lopez/Documents/Trabajo/1906 Acuña/Cuestionarios empresas/Oficio para camaras/PDF/Oficio_31_CANACO_MADERO.pdf</v>
      </c>
      <c r="H32" s="98" t="s">
        <v>580</v>
      </c>
      <c r="I32" t="str">
        <f t="shared" si="3"/>
        <v>C:/Users/Brandon.Lopez/Documents/Trabajo/1906 Acuña/Cuestionarios empresas/Oficio para camaras/Propuesta de invitación Comerciantes.docx</v>
      </c>
      <c r="J32" t="s">
        <v>195</v>
      </c>
      <c r="K32" t="s">
        <v>196</v>
      </c>
      <c r="L32" t="s">
        <v>197</v>
      </c>
      <c r="M32" t="s">
        <v>198</v>
      </c>
      <c r="N32" t="s">
        <v>194</v>
      </c>
      <c r="O32" t="s">
        <v>44</v>
      </c>
      <c r="P32" t="s">
        <v>408</v>
      </c>
      <c r="Q32" t="s">
        <v>199</v>
      </c>
      <c r="R32" t="s">
        <v>200</v>
      </c>
      <c r="S32" t="s">
        <v>430</v>
      </c>
      <c r="T32" t="s">
        <v>583</v>
      </c>
      <c r="U32" t="s">
        <v>531</v>
      </c>
      <c r="W32" t="str">
        <f>VLOOKUP(S32,Hoja1!$A$1:$C$5,3,0)</f>
        <v>C:/Users/Brandon.Lopez/Documents/Trabajo/1906 Acuña/Cuestionarios empresas/Oficio para camaras/Propuesta de invitación Comerciantes.docx</v>
      </c>
      <c r="X32" t="s">
        <v>582</v>
      </c>
      <c r="Y32" s="96" t="str">
        <f t="shared" si="4"/>
        <v xml:space="preserve">Estimado/a LIC PERLA GUADALUPE AGUILERA BAÑUELO
 PRESIDENTE
 CANACO MADERO 
</v>
      </c>
      <c r="Z32" s="92" t="s">
        <v>574</v>
      </c>
      <c r="AA32"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v>
      </c>
      <c r="AB32" s="96" t="s">
        <v>577</v>
      </c>
      <c r="AC32" s="94" t="str">
        <f t="shared" si="5"/>
        <v xml:space="preserve">Así mismo, se le reitera que la información que la Cámara o sus agremiados nos proporcionen, se mantendrá en total confidencialidad y será destinada únicamente para los propósitos de este proyecto.
</v>
      </c>
      <c r="AD32" s="94" t="s">
        <v>575</v>
      </c>
      <c r="AE32" s="95" t="str">
        <f t="shared" si="6"/>
        <v xml:space="preserve">
En espera de su respuesta, agradecemos de antemano su colaboración y quedamos a su disposición para una llamada por cualquier duda o aclaración que requiera. ¡Esperamos contar con su valioso apoyo!</v>
      </c>
      <c r="AF32" t="str">
        <f t="shared" si="7"/>
        <v>Estimado/a LIC PERLA GUADALUPE AGUILERA BAÑUELO
 PRESIDENTE
 CANACO MADERO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33" spans="1:32" ht="409.5" x14ac:dyDescent="0.25">
      <c r="A33" t="str">
        <f t="shared" si="0"/>
        <v xml:space="preserve">Estimado/a LIC DONATO GUTIÉRREZ GUTIERREZ
 PRESIDENTE
 CÁMARA MEXICANA DE LA INDUSTRIA DE LA CONSTRUCCIÓN DELEGACIÓN COMARCA LAGUNERA, COAHUILA Y DURANGO 
</v>
      </c>
      <c r="B33" t="str">
        <f t="shared" si="1"/>
        <v>donatogutierrez@coconsa.com.mx</v>
      </c>
      <c r="C33" s="91" t="s">
        <v>591</v>
      </c>
      <c r="D33" s="90" t="s">
        <v>573</v>
      </c>
      <c r="E33" t="s">
        <v>590</v>
      </c>
      <c r="F33" s="96" t="s">
        <v>623</v>
      </c>
      <c r="G33" t="str">
        <f t="shared" si="2"/>
        <v>C:/Users/Brandon.Lopez/Documents/Trabajo/1906 Acuña/Cuestionarios empresas/Oficio para camaras/PDF/Oficio_32_CÁMARA_MEXICANA_DE_LA_INDUSTRIA_DE_LA_CONSTRUCCIÓN_DELEGACIÓN_COMARCA_LAGUNERA__COAHUILA_Y_DURANGO.pdf</v>
      </c>
      <c r="H33" s="98" t="s">
        <v>580</v>
      </c>
      <c r="I33" t="str">
        <f t="shared" si="3"/>
        <v>C:/Users/Brandon.Lopez/Documents/Trabajo/1906 Acuña/Cuestionarios empresas/Oficio para camaras/Propuesta de invitación Empresas.docx</v>
      </c>
      <c r="J33" t="s">
        <v>195</v>
      </c>
      <c r="K33" t="s">
        <v>202</v>
      </c>
      <c r="L33" t="s">
        <v>104</v>
      </c>
      <c r="M33" t="s">
        <v>203</v>
      </c>
      <c r="N33" t="s">
        <v>201</v>
      </c>
      <c r="O33" t="s">
        <v>44</v>
      </c>
      <c r="P33" t="s">
        <v>409</v>
      </c>
      <c r="Q33" t="s">
        <v>560</v>
      </c>
      <c r="R33" t="s">
        <v>106</v>
      </c>
      <c r="S33" t="s">
        <v>428</v>
      </c>
      <c r="T33" t="s">
        <v>581</v>
      </c>
      <c r="U33" t="s">
        <v>532</v>
      </c>
      <c r="W33" t="str">
        <f>VLOOKUP(S33,Hoja1!$A$1:$C$5,3,0)</f>
        <v>C:/Users/Brandon.Lopez/Documents/Trabajo/1906 Acuña/Cuestionarios empresas/Oficio para camaras/Propuesta de invitación Empresas.docx</v>
      </c>
      <c r="X33" t="s">
        <v>582</v>
      </c>
      <c r="Y33" s="96" t="str">
        <f t="shared" si="4"/>
        <v xml:space="preserve">Estimado/a LIC DONATO GUTIÉRREZ GUTIERREZ
 PRESIDENTE
 CÁMARA MEXICANA DE LA INDUSTRIA DE LA CONSTRUCCIÓN DELEGACIÓN COMARCA LAGUNERA, COAHUILA Y DURANGO 
</v>
      </c>
      <c r="Z33" s="92" t="s">
        <v>574</v>
      </c>
      <c r="AA33"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33" s="96" t="s">
        <v>577</v>
      </c>
      <c r="AC33" s="94" t="str">
        <f t="shared" si="5"/>
        <v xml:space="preserve">Así mismo, se le reitera que la información que la Cámara o sus agremiados nos proporcionen, se mantendrá en total confidencialidad y será destinada únicamente para los propósitos de este proyecto.
</v>
      </c>
      <c r="AD33" s="94" t="s">
        <v>575</v>
      </c>
      <c r="AE33" s="95" t="str">
        <f t="shared" si="6"/>
        <v xml:space="preserve">
En espera de su respuesta, agradecemos de antemano su colaboración y quedamos a su disposición para una llamada por cualquier duda o aclaración que requiera. ¡Esperamos contar con su valioso apoyo!</v>
      </c>
      <c r="AF33" t="str">
        <f t="shared" si="7"/>
        <v>Estimado/a LIC DONATO GUTIÉRREZ GUTIERREZ
 PRESIDENTE
 CÁMARA MEXICANA DE LA INDUSTRIA DE LA CONSTRUCCIÓN DELEGACIÓN COMARCA LAGUNERA, COAHUILA Y DURANGO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34" spans="1:32" ht="409.5" x14ac:dyDescent="0.25">
      <c r="A34" t="str">
        <f t="shared" si="0"/>
        <v xml:space="preserve">Estimado/a LIC. BONIFACIO URIBE RIOJAS
 GERENTE GENERAL
 CMIC, COAHUILA CENTRO-NORTE 
</v>
      </c>
      <c r="B34" t="str">
        <f t="shared" si="1"/>
        <v>gerenciacmiccoah@hotmail.com; cmic.monclova@gmail.com</v>
      </c>
      <c r="C34" s="91" t="s">
        <v>591</v>
      </c>
      <c r="D34" s="90" t="s">
        <v>573</v>
      </c>
      <c r="E34" t="s">
        <v>590</v>
      </c>
      <c r="F34" s="96" t="s">
        <v>624</v>
      </c>
      <c r="G34" t="str">
        <f t="shared" si="2"/>
        <v>C:/Users/Brandon.Lopez/Documents/Trabajo/1906 Acuña/Cuestionarios empresas/Oficio para camaras/PDF/Oficio_33_CMIC__COAHUILA_CENTRO-NORTE.pdf</v>
      </c>
      <c r="H34" s="98" t="s">
        <v>580</v>
      </c>
      <c r="I34" t="str">
        <f t="shared" si="3"/>
        <v>C:/Users/Brandon.Lopez/Documents/Trabajo/1906 Acuña/Cuestionarios empresas/Oficio para camaras/Propuesta de invitación Empresas.docx</v>
      </c>
      <c r="J34" t="s">
        <v>10</v>
      </c>
      <c r="K34" t="s">
        <v>208</v>
      </c>
      <c r="L34" t="s">
        <v>209</v>
      </c>
      <c r="M34" t="s">
        <v>210</v>
      </c>
      <c r="N34" t="s">
        <v>206</v>
      </c>
      <c r="O34" t="s">
        <v>211</v>
      </c>
      <c r="P34" t="s">
        <v>382</v>
      </c>
      <c r="Q34" t="s">
        <v>212</v>
      </c>
      <c r="R34" t="s">
        <v>207</v>
      </c>
      <c r="S34" t="s">
        <v>428</v>
      </c>
      <c r="T34" t="s">
        <v>581</v>
      </c>
      <c r="U34" t="s">
        <v>533</v>
      </c>
      <c r="W34" t="str">
        <f>VLOOKUP(S34,Hoja1!$A$1:$C$5,3,0)</f>
        <v>C:/Users/Brandon.Lopez/Documents/Trabajo/1906 Acuña/Cuestionarios empresas/Oficio para camaras/Propuesta de invitación Empresas.docx</v>
      </c>
      <c r="X34" t="s">
        <v>582</v>
      </c>
      <c r="Y34" s="96" t="str">
        <f t="shared" si="4"/>
        <v xml:space="preserve">Estimado/a LIC. BONIFACIO URIBE RIOJAS
 GERENTE GENERAL
 CMIC, COAHUILA CENTRO-NORTE 
</v>
      </c>
      <c r="Z34" s="92" t="s">
        <v>574</v>
      </c>
      <c r="AA34"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34" s="96" t="s">
        <v>577</v>
      </c>
      <c r="AC34" s="94" t="str">
        <f t="shared" si="5"/>
        <v xml:space="preserve">Así mismo, se le reitera que la información que la Cámara o sus agremiados nos proporcionen, se mantendrá en total confidencialidad y será destinada únicamente para los propósitos de este proyecto.
</v>
      </c>
      <c r="AD34" s="94" t="s">
        <v>575</v>
      </c>
      <c r="AE34" s="95" t="str">
        <f t="shared" si="6"/>
        <v xml:space="preserve">
En espera de su respuesta, agradecemos de antemano su colaboración y quedamos a su disposición para una llamada por cualquier duda o aclaración que requiera. ¡Esperamos contar con su valioso apoyo!</v>
      </c>
      <c r="AF34" t="str">
        <f t="shared" si="7"/>
        <v>Estimado/a LIC. BONIFACIO URIBE RIOJAS
 GERENTE GENERAL
 CMIC, COAHUILA CENTRO-NORTE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35" spans="1:32" ht="409.5" x14ac:dyDescent="0.25">
      <c r="A35" t="str">
        <f t="shared" si="0"/>
        <v xml:space="preserve">Estimado/a LIC. GABRIELA AVILA REBOLLOZO
 GERENTE ADMINISTRATIVO
 CANACO SERVYTUR MONCLOVA 
</v>
      </c>
      <c r="B35" t="str">
        <f t="shared" si="1"/>
        <v>gerencia@canacomonclova.com; socios@canacomonclova.com;</v>
      </c>
      <c r="C35" s="91" t="s">
        <v>591</v>
      </c>
      <c r="D35" s="90" t="s">
        <v>573</v>
      </c>
      <c r="E35" t="s">
        <v>590</v>
      </c>
      <c r="F35" s="96" t="s">
        <v>625</v>
      </c>
      <c r="G35" t="str">
        <f t="shared" si="2"/>
        <v>C:/Users/Brandon.Lopez/Documents/Trabajo/1906 Acuña/Cuestionarios empresas/Oficio para camaras/PDF/Oficio_34_CANACO_SERVYTUR_MONCLOVA.pdf</v>
      </c>
      <c r="H35" s="98" t="s">
        <v>580</v>
      </c>
      <c r="I35" t="str">
        <f t="shared" si="3"/>
        <v>C:/Users/Brandon.Lopez/Documents/Trabajo/1906 Acuña/Cuestionarios empresas/Oficio para camaras/Propuesta de invitación Comerciantes.docx</v>
      </c>
      <c r="J35" t="s">
        <v>10</v>
      </c>
      <c r="K35" t="s">
        <v>214</v>
      </c>
      <c r="L35" t="s">
        <v>188</v>
      </c>
      <c r="M35" t="s">
        <v>215</v>
      </c>
      <c r="N35" t="s">
        <v>213</v>
      </c>
      <c r="O35" t="s">
        <v>216</v>
      </c>
      <c r="P35" t="s">
        <v>383</v>
      </c>
      <c r="Q35" t="s">
        <v>217</v>
      </c>
      <c r="R35" t="s">
        <v>207</v>
      </c>
      <c r="S35" t="s">
        <v>430</v>
      </c>
      <c r="T35" t="s">
        <v>583</v>
      </c>
      <c r="U35" t="s">
        <v>534</v>
      </c>
      <c r="W35" t="str">
        <f>VLOOKUP(S35,Hoja1!$A$1:$C$5,3,0)</f>
        <v>C:/Users/Brandon.Lopez/Documents/Trabajo/1906 Acuña/Cuestionarios empresas/Oficio para camaras/Propuesta de invitación Comerciantes.docx</v>
      </c>
      <c r="X35" t="s">
        <v>582</v>
      </c>
      <c r="Y35" s="96" t="str">
        <f t="shared" si="4"/>
        <v xml:space="preserve">Estimado/a LIC. GABRIELA AVILA REBOLLOZO
 GERENTE ADMINISTRATIVO
 CANACO SERVYTUR MONCLOVA 
</v>
      </c>
      <c r="Z35" s="92" t="s">
        <v>574</v>
      </c>
      <c r="AA35"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v>
      </c>
      <c r="AB35" s="96" t="s">
        <v>577</v>
      </c>
      <c r="AC35" s="94" t="str">
        <f t="shared" si="5"/>
        <v xml:space="preserve">Así mismo, se le reitera que la información que la Cámara o sus agremiados nos proporcionen, se mantendrá en total confidencialidad y será destinada únicamente para los propósitos de este proyecto.
</v>
      </c>
      <c r="AD35" s="94" t="s">
        <v>575</v>
      </c>
      <c r="AE35" s="95" t="str">
        <f t="shared" si="6"/>
        <v xml:space="preserve">
En espera de su respuesta, agradecemos de antemano su colaboración y quedamos a su disposición para una llamada por cualquier duda o aclaración que requiera. ¡Esperamos contar con su valioso apoyo!</v>
      </c>
      <c r="AF35" t="str">
        <f t="shared" si="7"/>
        <v>Estimado/a LIC. GABRIELA AVILA REBOLLOZO
 GERENTE ADMINISTRATIVO
 CANACO SERVYTUR MONCLOVA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36" spans="1:32" ht="409.5" x14ac:dyDescent="0.25">
      <c r="A36" t="str">
        <f t="shared" si="0"/>
        <v xml:space="preserve">Estimado/a ING. NORMA ALICIA CRUZ SÁNCHEZ
 DIRECTOR
 CANACINTRA MONCLOVA 
</v>
      </c>
      <c r="B36" t="str">
        <f t="shared" si="1"/>
        <v>director@canacintramonclova.org; recepcion@canacintramonclova.org; presidente@canacintramonclova.org;</v>
      </c>
      <c r="C36" s="91" t="s">
        <v>591</v>
      </c>
      <c r="D36" s="90" t="s">
        <v>573</v>
      </c>
      <c r="E36" t="s">
        <v>590</v>
      </c>
      <c r="F36" s="96" t="s">
        <v>626</v>
      </c>
      <c r="G36" t="str">
        <f t="shared" si="2"/>
        <v>C:/Users/Brandon.Lopez/Documents/Trabajo/1906 Acuña/Cuestionarios empresas/Oficio para camaras/PDF/Oficio_35_CANACINTRA_MONCLOVA.pdf</v>
      </c>
      <c r="H36" s="98" t="s">
        <v>580</v>
      </c>
      <c r="I36" t="str">
        <f t="shared" si="3"/>
        <v>C:/Users/Brandon.Lopez/Documents/Trabajo/1906 Acuña/Cuestionarios empresas/Oficio para camaras/Propuesta de invitación Empresas.docx</v>
      </c>
      <c r="J36" t="s">
        <v>18</v>
      </c>
      <c r="K36" t="s">
        <v>219</v>
      </c>
      <c r="L36" t="s">
        <v>220</v>
      </c>
      <c r="M36" t="s">
        <v>221</v>
      </c>
      <c r="N36" t="s">
        <v>222</v>
      </c>
      <c r="O36" t="s">
        <v>42</v>
      </c>
      <c r="P36" t="s">
        <v>384</v>
      </c>
      <c r="Q36" t="s">
        <v>218</v>
      </c>
      <c r="R36" t="s">
        <v>207</v>
      </c>
      <c r="S36" t="s">
        <v>428</v>
      </c>
      <c r="T36" t="s">
        <v>581</v>
      </c>
      <c r="U36" t="s">
        <v>535</v>
      </c>
      <c r="W36" t="str">
        <f>VLOOKUP(S36,Hoja1!$A$1:$C$5,3,0)</f>
        <v>C:/Users/Brandon.Lopez/Documents/Trabajo/1906 Acuña/Cuestionarios empresas/Oficio para camaras/Propuesta de invitación Empresas.docx</v>
      </c>
      <c r="X36" t="s">
        <v>582</v>
      </c>
      <c r="Y36" s="96" t="str">
        <f t="shared" si="4"/>
        <v xml:space="preserve">Estimado/a ING. NORMA ALICIA CRUZ SÁNCHEZ
 DIRECTOR
 CANACINTRA MONCLOVA 
</v>
      </c>
      <c r="Z36" s="92" t="s">
        <v>574</v>
      </c>
      <c r="AA36"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36" s="96" t="s">
        <v>577</v>
      </c>
      <c r="AC36" s="94" t="str">
        <f t="shared" si="5"/>
        <v xml:space="preserve">Así mismo, se le reitera que la información que la Cámara o sus agremiados nos proporcionen, se mantendrá en total confidencialidad y será destinada únicamente para los propósitos de este proyecto.
</v>
      </c>
      <c r="AD36" s="94" t="s">
        <v>575</v>
      </c>
      <c r="AE36" s="95" t="str">
        <f t="shared" si="6"/>
        <v xml:space="preserve">
En espera de su respuesta, agradecemos de antemano su colaboración y quedamos a su disposición para una llamada por cualquier duda o aclaración que requiera. ¡Esperamos contar con su valioso apoyo!</v>
      </c>
      <c r="AF36" t="str">
        <f t="shared" si="7"/>
        <v>Estimado/a ING. NORMA ALICIA CRUZ SÁNCHEZ
 DIRECTOR
 CANACINTRA MONCLOVA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37" spans="1:32" ht="409.5" x14ac:dyDescent="0.25">
      <c r="A37" t="str">
        <f t="shared" si="0"/>
        <v xml:space="preserve">Estimado/a LIC. JOSÉ EDUARDO ARELLANO SUÁREZ
 PRESIDENTE
 UNION DE ORGANISMOS EMPRESARIALES DEL CENTRO DEL ESTADO DE COAHUILA, A.C. 
</v>
      </c>
      <c r="B37" t="str">
        <f t="shared" si="1"/>
        <v>j.arellano@grupoalimenticio.com.mx;</v>
      </c>
      <c r="C37" s="91" t="s">
        <v>591</v>
      </c>
      <c r="D37" s="90" t="s">
        <v>573</v>
      </c>
      <c r="E37" t="s">
        <v>590</v>
      </c>
      <c r="F37" s="96" t="s">
        <v>627</v>
      </c>
      <c r="G37" t="str">
        <f t="shared" si="2"/>
        <v>C:/Users/Brandon.Lopez/Documents/Trabajo/1906 Acuña/Cuestionarios empresas/Oficio para camaras/PDF/Oficio_36_UNION_DE_ORGANISMOS_EMPRESARIALES_DEL_CENTRO_DEL_ESTADO_DE_COAHUILA__A.C..pdf</v>
      </c>
      <c r="H37" s="98" t="s">
        <v>580</v>
      </c>
      <c r="I37" t="str">
        <f t="shared" si="3"/>
        <v>C:/Users/Brandon.Lopez/Documents/Trabajo/1906 Acuña/Cuestionarios empresas/Oficio para camaras/Propuesta de invitación Empresas.docx</v>
      </c>
      <c r="J37" t="s">
        <v>10</v>
      </c>
      <c r="K37" t="s">
        <v>224</v>
      </c>
      <c r="L37" t="s">
        <v>225</v>
      </c>
      <c r="M37" t="s">
        <v>226</v>
      </c>
      <c r="N37" t="s">
        <v>223</v>
      </c>
      <c r="O37" t="s">
        <v>44</v>
      </c>
      <c r="P37" t="s">
        <v>385</v>
      </c>
      <c r="Q37" t="s">
        <v>227</v>
      </c>
      <c r="R37" t="s">
        <v>207</v>
      </c>
      <c r="S37" t="s">
        <v>428</v>
      </c>
      <c r="T37" t="s">
        <v>581</v>
      </c>
      <c r="U37" t="s">
        <v>536</v>
      </c>
      <c r="W37" t="str">
        <f>VLOOKUP(S37,Hoja1!$A$1:$C$5,3,0)</f>
        <v>C:/Users/Brandon.Lopez/Documents/Trabajo/1906 Acuña/Cuestionarios empresas/Oficio para camaras/Propuesta de invitación Empresas.docx</v>
      </c>
      <c r="X37" t="s">
        <v>582</v>
      </c>
      <c r="Y37" s="96" t="str">
        <f t="shared" si="4"/>
        <v xml:space="preserve">Estimado/a LIC. JOSÉ EDUARDO ARELLANO SUÁREZ
 PRESIDENTE
 UNION DE ORGANISMOS EMPRESARIALES DEL CENTRO DEL ESTADO DE COAHUILA, A.C. 
</v>
      </c>
      <c r="Z37" s="92" t="s">
        <v>574</v>
      </c>
      <c r="AA37"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37" s="96" t="s">
        <v>577</v>
      </c>
      <c r="AC37" s="94" t="str">
        <f t="shared" si="5"/>
        <v xml:space="preserve">Así mismo, se le reitera que la información que la Cámara o sus agremiados nos proporcionen, se mantendrá en total confidencialidad y será destinada únicamente para los propósitos de este proyecto.
</v>
      </c>
      <c r="AD37" s="94" t="s">
        <v>575</v>
      </c>
      <c r="AE37" s="95" t="str">
        <f t="shared" si="6"/>
        <v xml:space="preserve">
En espera de su respuesta, agradecemos de antemano su colaboración y quedamos a su disposición para una llamada por cualquier duda o aclaración que requiera. ¡Esperamos contar con su valioso apoyo!</v>
      </c>
      <c r="AF37" t="str">
        <f t="shared" si="7"/>
        <v>Estimado/a LIC. JOSÉ EDUARDO ARELLANO SUÁREZ
 PRESIDENTE
 UNION DE ORGANISMOS EMPRESARIALES DEL CENTRO DEL ESTADO DE COAHUILA,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38" spans="1:32" ht="409.5" x14ac:dyDescent="0.25">
      <c r="A38" t="str">
        <f t="shared" si="0"/>
        <v xml:space="preserve">Estimado/a LIC. ALEJANDRO CORONADO RODRÍGUEZ
 PRESIDENTE
 CÁMARA DE LA PROPIEDAD URBANA DE MONCLOVA 
</v>
      </c>
      <c r="B38" t="str">
        <f t="shared" si="1"/>
        <v>notariapublicauno_acr@prodigy.net.mx;</v>
      </c>
      <c r="C38" s="91" t="s">
        <v>591</v>
      </c>
      <c r="D38" s="90" t="s">
        <v>573</v>
      </c>
      <c r="E38" t="s">
        <v>590</v>
      </c>
      <c r="F38" s="96" t="s">
        <v>628</v>
      </c>
      <c r="G38" t="str">
        <f t="shared" si="2"/>
        <v>C:/Users/Brandon.Lopez/Documents/Trabajo/1906 Acuña/Cuestionarios empresas/Oficio para camaras/PDF/Oficio_37_CÁMARA_DE_LA_PROPIEDAD_URBANA_DE_MONCLOVA.pdf</v>
      </c>
      <c r="H38" s="98" t="s">
        <v>580</v>
      </c>
      <c r="I38" t="str">
        <f t="shared" si="3"/>
        <v>C:/Users/Brandon.Lopez/Documents/Trabajo/1906 Acuña/Cuestionarios empresas/Oficio para camaras/Propuesta de invitación Empresas.docx</v>
      </c>
      <c r="J38" t="s">
        <v>10</v>
      </c>
      <c r="K38" t="s">
        <v>37</v>
      </c>
      <c r="L38" t="s">
        <v>229</v>
      </c>
      <c r="M38" t="s">
        <v>34</v>
      </c>
      <c r="N38" t="s">
        <v>228</v>
      </c>
      <c r="O38" t="s">
        <v>44</v>
      </c>
      <c r="P38" t="s">
        <v>386</v>
      </c>
      <c r="Q38" t="s">
        <v>230</v>
      </c>
      <c r="R38" t="s">
        <v>207</v>
      </c>
      <c r="S38" t="s">
        <v>428</v>
      </c>
      <c r="T38" t="s">
        <v>581</v>
      </c>
      <c r="U38" t="s">
        <v>537</v>
      </c>
      <c r="W38" t="str">
        <f>VLOOKUP(S38,Hoja1!$A$1:$C$5,3,0)</f>
        <v>C:/Users/Brandon.Lopez/Documents/Trabajo/1906 Acuña/Cuestionarios empresas/Oficio para camaras/Propuesta de invitación Empresas.docx</v>
      </c>
      <c r="X38" t="s">
        <v>582</v>
      </c>
      <c r="Y38" s="96" t="str">
        <f t="shared" si="4"/>
        <v xml:space="preserve">Estimado/a LIC. ALEJANDRO CORONADO RODRÍGUEZ
 PRESIDENTE
 CÁMARA DE LA PROPIEDAD URBANA DE MONCLOVA 
</v>
      </c>
      <c r="Z38" s="92" t="s">
        <v>574</v>
      </c>
      <c r="AA38"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38" s="96" t="s">
        <v>577</v>
      </c>
      <c r="AC38" s="94" t="str">
        <f t="shared" si="5"/>
        <v xml:space="preserve">Así mismo, se le reitera que la información que la Cámara o sus agremiados nos proporcionen, se mantendrá en total confidencialidad y será destinada únicamente para los propósitos de este proyecto.
</v>
      </c>
      <c r="AD38" s="94" t="s">
        <v>575</v>
      </c>
      <c r="AE38" s="95" t="str">
        <f t="shared" si="6"/>
        <v xml:space="preserve">
En espera de su respuesta, agradecemos de antemano su colaboración y quedamos a su disposición para una llamada por cualquier duda o aclaración que requiera. ¡Esperamos contar con su valioso apoyo!</v>
      </c>
      <c r="AF38" t="str">
        <f t="shared" si="7"/>
        <v>Estimado/a LIC. ALEJANDRO CORONADO RODRÍGUEZ
 PRESIDENTE
 CÁMARA DE LA PROPIEDAD URBANA DE MONCLOVA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39" spans="1:32" ht="409.5" x14ac:dyDescent="0.25">
      <c r="A39" t="str">
        <f t="shared" si="0"/>
        <v xml:space="preserve">Estimado/a LIC. CÉSAR ORLANDO CHÁVEZ RAMÓN
 PRESIDENTE
 CANACO FRONTERA 
</v>
      </c>
      <c r="B39" t="str">
        <f t="shared" si="1"/>
        <v>cesarcocr7@gmail.com</v>
      </c>
      <c r="C39" s="91" t="s">
        <v>591</v>
      </c>
      <c r="D39" s="90" t="s">
        <v>573</v>
      </c>
      <c r="E39" t="s">
        <v>590</v>
      </c>
      <c r="F39" s="96" t="s">
        <v>629</v>
      </c>
      <c r="G39" t="str">
        <f t="shared" si="2"/>
        <v>C:/Users/Brandon.Lopez/Documents/Trabajo/1906 Acuña/Cuestionarios empresas/Oficio para camaras/PDF/Oficio_38_CANACO_FRONTERA.pdf</v>
      </c>
      <c r="H39" s="98" t="s">
        <v>580</v>
      </c>
      <c r="I39" t="str">
        <f t="shared" si="3"/>
        <v>C:/Users/Brandon.Lopez/Documents/Trabajo/1906 Acuña/Cuestionarios empresas/Oficio para camaras/Propuesta de invitación Comerciantes.docx</v>
      </c>
      <c r="J39" t="s">
        <v>10</v>
      </c>
      <c r="K39" t="s">
        <v>235</v>
      </c>
      <c r="L39" t="s">
        <v>236</v>
      </c>
      <c r="M39" t="s">
        <v>237</v>
      </c>
      <c r="N39" t="s">
        <v>234</v>
      </c>
      <c r="O39" t="s">
        <v>44</v>
      </c>
      <c r="P39" t="s">
        <v>388</v>
      </c>
      <c r="Q39" t="s">
        <v>561</v>
      </c>
      <c r="R39" t="s">
        <v>391</v>
      </c>
      <c r="S39" t="s">
        <v>430</v>
      </c>
      <c r="T39" t="s">
        <v>583</v>
      </c>
      <c r="U39" t="s">
        <v>538</v>
      </c>
      <c r="W39" t="str">
        <f>VLOOKUP(S39,Hoja1!$A$1:$C$5,3,0)</f>
        <v>C:/Users/Brandon.Lopez/Documents/Trabajo/1906 Acuña/Cuestionarios empresas/Oficio para camaras/Propuesta de invitación Comerciantes.docx</v>
      </c>
      <c r="X39" t="s">
        <v>582</v>
      </c>
      <c r="Y39" s="96" t="str">
        <f t="shared" si="4"/>
        <v xml:space="preserve">Estimado/a LIC. CÉSAR ORLANDO CHÁVEZ RAMÓN
 PRESIDENTE
 CANACO FRONTERA 
</v>
      </c>
      <c r="Z39" s="92" t="s">
        <v>574</v>
      </c>
      <c r="AA39"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v>
      </c>
      <c r="AB39" s="96" t="s">
        <v>577</v>
      </c>
      <c r="AC39" s="94" t="str">
        <f t="shared" si="5"/>
        <v xml:space="preserve">Así mismo, se le reitera que la información que la Cámara o sus agremiados nos proporcionen, se mantendrá en total confidencialidad y será destinada únicamente para los propósitos de este proyecto.
</v>
      </c>
      <c r="AD39" s="94" t="s">
        <v>575</v>
      </c>
      <c r="AE39" s="95" t="str">
        <f t="shared" si="6"/>
        <v xml:space="preserve">
En espera de su respuesta, agradecemos de antemano su colaboración y quedamos a su disposición para una llamada por cualquier duda o aclaración que requiera. ¡Esperamos contar con su valioso apoyo!</v>
      </c>
      <c r="AF39" t="str">
        <f t="shared" si="7"/>
        <v>Estimado/a LIC. CÉSAR ORLANDO CHÁVEZ RAMÓN
 PRESIDENTE
 CANACO FRONTERA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40" spans="1:32" ht="409.5" x14ac:dyDescent="0.25">
      <c r="A40" t="str">
        <f t="shared" si="0"/>
        <v xml:space="preserve">Estimado/a C.P. MIRIAM RODRÍGUEZ RODRÍGUEZ
 DIRECTORA
 COPARMEX MONCLOVA 
</v>
      </c>
      <c r="B40" t="str">
        <f t="shared" si="1"/>
        <v>mujerescoparmexmva@gmail.com; gerencia@coparmexmonclova.org;</v>
      </c>
      <c r="C40" s="91" t="s">
        <v>591</v>
      </c>
      <c r="D40" s="90" t="s">
        <v>573</v>
      </c>
      <c r="E40" t="s">
        <v>590</v>
      </c>
      <c r="F40" s="96" t="s">
        <v>630</v>
      </c>
      <c r="G40" t="str">
        <f t="shared" si="2"/>
        <v>C:/Users/Brandon.Lopez/Documents/Trabajo/1906 Acuña/Cuestionarios empresas/Oficio para camaras/PDF/Oficio_39_COPARMEX_MONCLOVA.pdf</v>
      </c>
      <c r="H40" s="98" t="s">
        <v>580</v>
      </c>
      <c r="I40" t="str">
        <f t="shared" si="3"/>
        <v>C:/Users/Brandon.Lopez/Documents/Trabajo/1906 Acuña/Cuestionarios empresas/Oficio para camaras/Propuesta de invitación Empresas.docx</v>
      </c>
      <c r="J40" t="s">
        <v>54</v>
      </c>
      <c r="K40" t="s">
        <v>240</v>
      </c>
      <c r="L40" t="s">
        <v>34</v>
      </c>
      <c r="M40" t="s">
        <v>34</v>
      </c>
      <c r="N40" t="s">
        <v>239</v>
      </c>
      <c r="O40" t="s">
        <v>142</v>
      </c>
      <c r="P40" t="s">
        <v>389</v>
      </c>
      <c r="Q40" t="s">
        <v>241</v>
      </c>
      <c r="R40" t="s">
        <v>207</v>
      </c>
      <c r="S40" t="s">
        <v>428</v>
      </c>
      <c r="T40" t="s">
        <v>581</v>
      </c>
      <c r="U40" t="s">
        <v>539</v>
      </c>
      <c r="W40" t="str">
        <f>VLOOKUP(S40,Hoja1!$A$1:$C$5,3,0)</f>
        <v>C:/Users/Brandon.Lopez/Documents/Trabajo/1906 Acuña/Cuestionarios empresas/Oficio para camaras/Propuesta de invitación Empresas.docx</v>
      </c>
      <c r="X40" t="s">
        <v>582</v>
      </c>
      <c r="Y40" s="96" t="str">
        <f t="shared" si="4"/>
        <v xml:space="preserve">Estimado/a C.P. MIRIAM RODRÍGUEZ RODRÍGUEZ
 DIRECTORA
 COPARMEX MONCLOVA 
</v>
      </c>
      <c r="Z40" s="92" t="s">
        <v>574</v>
      </c>
      <c r="AA40"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40" s="96" t="s">
        <v>577</v>
      </c>
      <c r="AC40" s="94" t="str">
        <f t="shared" si="5"/>
        <v xml:space="preserve">Así mismo, se le reitera que la información que la Cámara o sus agremiados nos proporcionen, se mantendrá en total confidencialidad y será destinada únicamente para los propósitos de este proyecto.
</v>
      </c>
      <c r="AD40" s="94" t="s">
        <v>575</v>
      </c>
      <c r="AE40" s="95" t="str">
        <f t="shared" si="6"/>
        <v xml:space="preserve">
En espera de su respuesta, agradecemos de antemano su colaboración y quedamos a su disposición para una llamada por cualquier duda o aclaración que requiera. ¡Esperamos contar con su valioso apoyo!</v>
      </c>
      <c r="AF40" t="str">
        <f t="shared" si="7"/>
        <v>Estimado/a C.P. MIRIAM RODRÍGUEZ RODRÍGUEZ
 DIRECTORA
 COPARMEX MONCLOVA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41" spans="1:32" ht="409.5" x14ac:dyDescent="0.25">
      <c r="A41" t="str">
        <f t="shared" si="0"/>
        <v xml:space="preserve">Estimado/a LIC. VICTOR NASIP HARB KARAM
 Representante de la División ante Organismos Empresariales Región Centro
 CAMARA DE LA INDUSTRIA DE LA RADIO Y LA TELEVISION 
</v>
      </c>
      <c r="B41" t="str">
        <f t="shared" si="1"/>
        <v>vnhkm@yahoo.com.mx;</v>
      </c>
      <c r="C41" s="91" t="s">
        <v>591</v>
      </c>
      <c r="D41" s="90" t="s">
        <v>573</v>
      </c>
      <c r="E41" t="s">
        <v>590</v>
      </c>
      <c r="F41" s="96" t="s">
        <v>631</v>
      </c>
      <c r="G41" t="str">
        <f t="shared" si="2"/>
        <v>C:/Users/Brandon.Lopez/Documents/Trabajo/1906 Acuña/Cuestionarios empresas/Oficio para camaras/PDF/Oficio_40_CAMARA_DE_LA_INDUSTRIA_DE_LA_RADIO_Y_LA_TELEVISION.pdf</v>
      </c>
      <c r="H41" s="98" t="s">
        <v>580</v>
      </c>
      <c r="I41" t="str">
        <f t="shared" si="3"/>
        <v>C:/Users/Brandon.Lopez/Documents/Trabajo/1906 Acuña/Cuestionarios empresas/Oficio para camaras/Propuesta de invitación Empresas.docx</v>
      </c>
      <c r="J41" t="s">
        <v>10</v>
      </c>
      <c r="K41" t="s">
        <v>493</v>
      </c>
      <c r="L41" t="s">
        <v>494</v>
      </c>
      <c r="M41" t="s">
        <v>495</v>
      </c>
      <c r="N41" t="s">
        <v>247</v>
      </c>
      <c r="O41" t="s">
        <v>455</v>
      </c>
      <c r="P41" t="s">
        <v>426</v>
      </c>
      <c r="Q41" t="s">
        <v>249</v>
      </c>
      <c r="R41" t="s">
        <v>207</v>
      </c>
      <c r="S41" t="s">
        <v>428</v>
      </c>
      <c r="T41" t="s">
        <v>581</v>
      </c>
      <c r="U41" t="s">
        <v>540</v>
      </c>
      <c r="W41" t="str">
        <f>VLOOKUP(S41,Hoja1!$A$1:$C$5,3,0)</f>
        <v>C:/Users/Brandon.Lopez/Documents/Trabajo/1906 Acuña/Cuestionarios empresas/Oficio para camaras/Propuesta de invitación Empresas.docx</v>
      </c>
      <c r="X41" t="s">
        <v>582</v>
      </c>
      <c r="Y41" s="96" t="str">
        <f t="shared" si="4"/>
        <v xml:space="preserve">Estimado/a LIC. VICTOR NASIP HARB KARAM
 Representante de la División ante Organismos Empresariales Región Centro
 CAMARA DE LA INDUSTRIA DE LA RADIO Y LA TELEVISION 
</v>
      </c>
      <c r="Z41" s="92" t="s">
        <v>574</v>
      </c>
      <c r="AA41"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41" s="96" t="s">
        <v>577</v>
      </c>
      <c r="AC41" s="94" t="str">
        <f t="shared" si="5"/>
        <v xml:space="preserve">Así mismo, se le reitera que la información que la Cámara o sus agremiados nos proporcionen, se mantendrá en total confidencialidad y será destinada únicamente para los propósitos de este proyecto.
</v>
      </c>
      <c r="AD41" s="94" t="s">
        <v>575</v>
      </c>
      <c r="AE41" s="95" t="str">
        <f t="shared" si="6"/>
        <v xml:space="preserve">
En espera de su respuesta, agradecemos de antemano su colaboración y quedamos a su disposición para una llamada por cualquier duda o aclaración que requiera. ¡Esperamos contar con su valioso apoyo!</v>
      </c>
      <c r="AF41" t="str">
        <f t="shared" si="7"/>
        <v>Estimado/a LIC. VICTOR NASIP HARB KARAM
 Representante de la División ante Organismos Empresariales Región Centro
 CAMARA DE LA INDUSTRIA DE LA RADIO Y LA TELEVISION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42" spans="1:32" ht="409.5" x14ac:dyDescent="0.25">
      <c r="A42" t="str">
        <f t="shared" si="0"/>
        <v xml:space="preserve">Estimado/a SR. ALBERTO  LOZANO  VELAZQUEZ 
 PRESIDENTE FUNDADOR
 CONSEJO EMPRESARIAL SABINAS  
</v>
      </c>
      <c r="B42" t="str">
        <f t="shared" si="1"/>
        <v>proteccion2004@gmail.com</v>
      </c>
      <c r="C42" s="91" t="s">
        <v>591</v>
      </c>
      <c r="D42" s="90" t="s">
        <v>573</v>
      </c>
      <c r="E42" t="s">
        <v>590</v>
      </c>
      <c r="F42" s="96" t="s">
        <v>632</v>
      </c>
      <c r="G42" t="str">
        <f t="shared" si="2"/>
        <v>C:/Users/Brandon.Lopez/Documents/Trabajo/1906 Acuña/Cuestionarios empresas/Oficio para camaras/PDF/Oficio_41_CONSEJO_EMPRESARIAL_SABINAS_.pdf</v>
      </c>
      <c r="H42" s="98" t="s">
        <v>580</v>
      </c>
      <c r="I42" t="str">
        <f t="shared" si="3"/>
        <v>C:/Users/Brandon.Lopez/Documents/Trabajo/1906 Acuña/Cuestionarios empresas/Oficio para camaras/Propuesta de invitación Empresas.docx</v>
      </c>
      <c r="J42" t="s">
        <v>60</v>
      </c>
      <c r="K42" t="s">
        <v>254</v>
      </c>
      <c r="L42" t="s">
        <v>255</v>
      </c>
      <c r="M42" t="s">
        <v>256</v>
      </c>
      <c r="N42" t="s">
        <v>253</v>
      </c>
      <c r="O42" t="s">
        <v>257</v>
      </c>
      <c r="P42" t="s">
        <v>374</v>
      </c>
      <c r="Q42" t="s">
        <v>562</v>
      </c>
      <c r="R42" t="s">
        <v>259</v>
      </c>
      <c r="S42" t="s">
        <v>428</v>
      </c>
      <c r="T42" t="s">
        <v>581</v>
      </c>
      <c r="U42" t="s">
        <v>541</v>
      </c>
      <c r="W42" t="str">
        <f>VLOOKUP(S42,Hoja1!$A$1:$C$5,3,0)</f>
        <v>C:/Users/Brandon.Lopez/Documents/Trabajo/1906 Acuña/Cuestionarios empresas/Oficio para camaras/Propuesta de invitación Empresas.docx</v>
      </c>
      <c r="X42" t="s">
        <v>582</v>
      </c>
      <c r="Y42" s="96" t="str">
        <f t="shared" si="4"/>
        <v xml:space="preserve">Estimado/a SR. ALBERTO  LOZANO  VELAZQUEZ 
 PRESIDENTE FUNDADOR
 CONSEJO EMPRESARIAL SABINAS  
</v>
      </c>
      <c r="Z42" s="92" t="s">
        <v>574</v>
      </c>
      <c r="AA42"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42" s="96" t="s">
        <v>577</v>
      </c>
      <c r="AC42" s="94" t="str">
        <f t="shared" si="5"/>
        <v xml:space="preserve">Así mismo, se le reitera que la información que la Cámara o sus agremiados nos proporcionen, se mantendrá en total confidencialidad y será destinada únicamente para los propósitos de este proyecto.
</v>
      </c>
      <c r="AD42" s="94" t="s">
        <v>575</v>
      </c>
      <c r="AE42" s="95" t="str">
        <f t="shared" si="6"/>
        <v xml:space="preserve">
En espera de su respuesta, agradecemos de antemano su colaboración y quedamos a su disposición para una llamada por cualquier duda o aclaración que requiera. ¡Esperamos contar con su valioso apoyo!</v>
      </c>
      <c r="AF42" t="str">
        <f t="shared" si="7"/>
        <v>Estimado/a SR. ALBERTO  LOZANO  VELAZQUEZ 
 PRESIDENTE FUNDADOR
 CONSEJO EMPRESARIAL SABINAS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43" spans="1:32" ht="409.5" x14ac:dyDescent="0.25">
      <c r="A43" t="str">
        <f t="shared" si="0"/>
        <v xml:space="preserve">Estimado/a LIC. ALBERTO  RAMOS JIMENEZ
 PRESIDENTE
 CONSEJO EMPRESARIAL SABINAS  
</v>
      </c>
      <c r="B43" t="str">
        <f t="shared" si="1"/>
        <v>alberto.ramos@mineralesmirasa.com</v>
      </c>
      <c r="C43" s="91" t="s">
        <v>591</v>
      </c>
      <c r="D43" s="90" t="s">
        <v>573</v>
      </c>
      <c r="E43" t="s">
        <v>590</v>
      </c>
      <c r="F43" s="96" t="s">
        <v>633</v>
      </c>
      <c r="G43" t="str">
        <f t="shared" si="2"/>
        <v>C:/Users/Brandon.Lopez/Documents/Trabajo/1906 Acuña/Cuestionarios empresas/Oficio para camaras/PDF/Oficio_42_CONSEJO_EMPRESARIAL_SABINAS_.pdf</v>
      </c>
      <c r="H43" s="98" t="s">
        <v>580</v>
      </c>
      <c r="I43" t="str">
        <f t="shared" si="3"/>
        <v>C:/Users/Brandon.Lopez/Documents/Trabajo/1906 Acuña/Cuestionarios empresas/Oficio para camaras/Propuesta de invitación Empresas.docx</v>
      </c>
      <c r="J43" t="s">
        <v>10</v>
      </c>
      <c r="K43" t="s">
        <v>254</v>
      </c>
      <c r="L43" t="s">
        <v>41</v>
      </c>
      <c r="M43" t="s">
        <v>260</v>
      </c>
      <c r="N43" t="s">
        <v>253</v>
      </c>
      <c r="O43" t="s">
        <v>44</v>
      </c>
      <c r="P43" t="s">
        <v>375</v>
      </c>
      <c r="Q43" t="s">
        <v>563</v>
      </c>
      <c r="R43" t="s">
        <v>259</v>
      </c>
      <c r="S43" t="s">
        <v>428</v>
      </c>
      <c r="T43" t="s">
        <v>581</v>
      </c>
      <c r="U43" t="s">
        <v>542</v>
      </c>
      <c r="W43" t="str">
        <f>VLOOKUP(S43,Hoja1!$A$1:$C$5,3,0)</f>
        <v>C:/Users/Brandon.Lopez/Documents/Trabajo/1906 Acuña/Cuestionarios empresas/Oficio para camaras/Propuesta de invitación Empresas.docx</v>
      </c>
      <c r="X43" t="s">
        <v>582</v>
      </c>
      <c r="Y43" s="96" t="str">
        <f t="shared" si="4"/>
        <v xml:space="preserve">Estimado/a LIC. ALBERTO  RAMOS JIMENEZ
 PRESIDENTE
 CONSEJO EMPRESARIAL SABINAS  
</v>
      </c>
      <c r="Z43" s="92" t="s">
        <v>574</v>
      </c>
      <c r="AA43"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43" s="96" t="s">
        <v>577</v>
      </c>
      <c r="AC43" s="94" t="str">
        <f t="shared" si="5"/>
        <v xml:space="preserve">Así mismo, se le reitera que la información que la Cámara o sus agremiados nos proporcionen, se mantendrá en total confidencialidad y será destinada únicamente para los propósitos de este proyecto.
</v>
      </c>
      <c r="AD43" s="94" t="s">
        <v>575</v>
      </c>
      <c r="AE43" s="95" t="str">
        <f t="shared" si="6"/>
        <v xml:space="preserve">
En espera de su respuesta, agradecemos de antemano su colaboración y quedamos a su disposición para una llamada por cualquier duda o aclaración que requiera. ¡Esperamos contar con su valioso apoyo!</v>
      </c>
      <c r="AF43" t="str">
        <f t="shared" si="7"/>
        <v>Estimado/a LIC. ALBERTO  RAMOS JIMENEZ
 PRESIDENTE
 CONSEJO EMPRESARIAL SABINAS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44" spans="1:32" ht="409.5" x14ac:dyDescent="0.25">
      <c r="A44" t="str">
        <f t="shared" si="0"/>
        <v xml:space="preserve">Estimado/a LIC. JOSÉ BOGAR MONTEMAYOR GARZA
 PRESIDENTE
 UNION MEXICANA DE PRODUCTORES DE CARBON, A.C.  
</v>
      </c>
      <c r="B44" t="str">
        <f t="shared" si="1"/>
        <v xml:space="preserve">umpc_carbon@hotmail.com; </v>
      </c>
      <c r="C44" s="91" t="s">
        <v>591</v>
      </c>
      <c r="D44" s="90" t="s">
        <v>573</v>
      </c>
      <c r="E44" t="s">
        <v>590</v>
      </c>
      <c r="F44" s="96" t="s">
        <v>634</v>
      </c>
      <c r="G44" t="str">
        <f t="shared" si="2"/>
        <v>C:/Users/Brandon.Lopez/Documents/Trabajo/1906 Acuña/Cuestionarios empresas/Oficio para camaras/PDF/Oficio_43_UNION_MEXICANA_DE_PRODUCTORES_DE_CARBON__A.C._.pdf</v>
      </c>
      <c r="H44" s="98" t="s">
        <v>580</v>
      </c>
      <c r="I44" t="str">
        <f t="shared" si="3"/>
        <v>C:/Users/Brandon.Lopez/Documents/Trabajo/1906 Acuña/Cuestionarios empresas/Oficio para camaras/Propuesta de invitación Empresas.docx</v>
      </c>
      <c r="J44" t="s">
        <v>10</v>
      </c>
      <c r="K44" t="s">
        <v>263</v>
      </c>
      <c r="L44" t="s">
        <v>82</v>
      </c>
      <c r="M44" t="s">
        <v>19</v>
      </c>
      <c r="N44" t="s">
        <v>262</v>
      </c>
      <c r="O44" t="s">
        <v>44</v>
      </c>
      <c r="P44" t="s">
        <v>376</v>
      </c>
      <c r="Q44" t="s">
        <v>264</v>
      </c>
      <c r="R44" t="s">
        <v>259</v>
      </c>
      <c r="S44" t="s">
        <v>428</v>
      </c>
      <c r="T44" t="s">
        <v>581</v>
      </c>
      <c r="U44" t="s">
        <v>543</v>
      </c>
      <c r="W44" t="str">
        <f>VLOOKUP(S44,Hoja1!$A$1:$C$5,3,0)</f>
        <v>C:/Users/Brandon.Lopez/Documents/Trabajo/1906 Acuña/Cuestionarios empresas/Oficio para camaras/Propuesta de invitación Empresas.docx</v>
      </c>
      <c r="X44" t="s">
        <v>582</v>
      </c>
      <c r="Y44" s="96" t="str">
        <f t="shared" si="4"/>
        <v xml:space="preserve">Estimado/a LIC. JOSÉ BOGAR MONTEMAYOR GARZA
 PRESIDENTE
 UNION MEXICANA DE PRODUCTORES DE CARBON, A.C.  
</v>
      </c>
      <c r="Z44" s="92" t="s">
        <v>574</v>
      </c>
      <c r="AA44"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44" s="96" t="s">
        <v>577</v>
      </c>
      <c r="AC44" s="94" t="str">
        <f t="shared" si="5"/>
        <v xml:space="preserve">Así mismo, se le reitera que la información que la Cámara o sus agremiados nos proporcionen, se mantendrá en total confidencialidad y será destinada únicamente para los propósitos de este proyecto.
</v>
      </c>
      <c r="AD44" s="94" t="s">
        <v>575</v>
      </c>
      <c r="AE44" s="95" t="str">
        <f t="shared" si="6"/>
        <v xml:space="preserve">
En espera de su respuesta, agradecemos de antemano su colaboración y quedamos a su disposición para una llamada por cualquier duda o aclaración que requiera. ¡Esperamos contar con su valioso apoyo!</v>
      </c>
      <c r="AF44" t="str">
        <f t="shared" si="7"/>
        <v>Estimado/a LIC. JOSÉ BOGAR MONTEMAYOR GARZA
 PRESIDENTE
 UNION MEXICANA DE PRODUCTORES DE CARBON,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45" spans="1:32" ht="409.5" x14ac:dyDescent="0.25">
      <c r="A45" t="str">
        <f t="shared" si="0"/>
        <v xml:space="preserve">Estimado/a ING. CÉSAR LUIS CENICEROS MARÍN
 PRESIDENTE
 UNION NACIONAL DE PRODUCTORES DE CARBON  
</v>
      </c>
      <c r="B45" t="str">
        <f t="shared" si="1"/>
        <v>unp_ac@hotmail.com; silicaspn@gmail.com</v>
      </c>
      <c r="C45" s="91" t="s">
        <v>591</v>
      </c>
      <c r="D45" s="90" t="s">
        <v>573</v>
      </c>
      <c r="E45" t="s">
        <v>590</v>
      </c>
      <c r="F45" s="96" t="s">
        <v>635</v>
      </c>
      <c r="G45" t="str">
        <f t="shared" si="2"/>
        <v>C:/Users/Brandon.Lopez/Documents/Trabajo/1906 Acuña/Cuestionarios empresas/Oficio para camaras/PDF/Oficio_44_UNION_NACIONAL_DE_PRODUCTORES_DE_CARBON_.pdf</v>
      </c>
      <c r="H45" s="98" t="s">
        <v>580</v>
      </c>
      <c r="I45" t="str">
        <f t="shared" si="3"/>
        <v>C:/Users/Brandon.Lopez/Documents/Trabajo/1906 Acuña/Cuestionarios empresas/Oficio para camaras/Propuesta de invitación Empresas.docx</v>
      </c>
      <c r="J45" t="s">
        <v>18</v>
      </c>
      <c r="K45" t="s">
        <v>266</v>
      </c>
      <c r="L45" t="s">
        <v>267</v>
      </c>
      <c r="M45" t="s">
        <v>268</v>
      </c>
      <c r="N45" t="s">
        <v>265</v>
      </c>
      <c r="O45" t="s">
        <v>44</v>
      </c>
      <c r="P45" t="s">
        <v>377</v>
      </c>
      <c r="Q45" t="s">
        <v>269</v>
      </c>
      <c r="R45" t="s">
        <v>259</v>
      </c>
      <c r="S45" t="s">
        <v>428</v>
      </c>
      <c r="T45" t="s">
        <v>581</v>
      </c>
      <c r="U45" t="s">
        <v>544</v>
      </c>
      <c r="W45" t="str">
        <f>VLOOKUP(S45,Hoja1!$A$1:$C$5,3,0)</f>
        <v>C:/Users/Brandon.Lopez/Documents/Trabajo/1906 Acuña/Cuestionarios empresas/Oficio para camaras/Propuesta de invitación Empresas.docx</v>
      </c>
      <c r="X45" t="s">
        <v>582</v>
      </c>
      <c r="Y45" s="96" t="str">
        <f t="shared" si="4"/>
        <v xml:space="preserve">Estimado/a ING. CÉSAR LUIS CENICEROS MARÍN
 PRESIDENTE
 UNION NACIONAL DE PRODUCTORES DE CARBON  
</v>
      </c>
      <c r="Z45" s="92" t="s">
        <v>574</v>
      </c>
      <c r="AA45"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45" s="96" t="s">
        <v>577</v>
      </c>
      <c r="AC45" s="94" t="str">
        <f t="shared" si="5"/>
        <v xml:space="preserve">Así mismo, se le reitera que la información que la Cámara o sus agremiados nos proporcionen, se mantendrá en total confidencialidad y será destinada únicamente para los propósitos de este proyecto.
</v>
      </c>
      <c r="AD45" s="94" t="s">
        <v>575</v>
      </c>
      <c r="AE45" s="95" t="str">
        <f t="shared" si="6"/>
        <v xml:space="preserve">
En espera de su respuesta, agradecemos de antemano su colaboración y quedamos a su disposición para una llamada por cualquier duda o aclaración que requiera. ¡Esperamos contar con su valioso apoyo!</v>
      </c>
      <c r="AF45" t="str">
        <f t="shared" si="7"/>
        <v>Estimado/a ING. CÉSAR LUIS CENICEROS MARÍN
 PRESIDENTE
 UNION NACIONAL DE PRODUCTORES DE CARBON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46" spans="1:32" ht="409.5" x14ac:dyDescent="0.25">
      <c r="A46" t="str">
        <f t="shared" si="0"/>
        <v xml:space="preserve">Estimado/a LIC. GREGORIO GARZA BALLI
 PRESIDENTE
 CANACO SERVYTUR SABINAS 
</v>
      </c>
      <c r="B46" t="str">
        <f t="shared" si="1"/>
        <v>sabicanaco@hotmail.com; sabicanaco@prodigy.net.mx</v>
      </c>
      <c r="C46" s="91" t="s">
        <v>591</v>
      </c>
      <c r="D46" s="90" t="s">
        <v>573</v>
      </c>
      <c r="E46" t="s">
        <v>590</v>
      </c>
      <c r="F46" s="96" t="s">
        <v>636</v>
      </c>
      <c r="G46" t="str">
        <f t="shared" si="2"/>
        <v>C:/Users/Brandon.Lopez/Documents/Trabajo/1906 Acuña/Cuestionarios empresas/Oficio para camaras/PDF/Oficio_45_CANACO_SERVYTUR_SABINAS.pdf</v>
      </c>
      <c r="H46" s="98" t="s">
        <v>580</v>
      </c>
      <c r="I46" t="str">
        <f t="shared" si="3"/>
        <v>C:/Users/Brandon.Lopez/Documents/Trabajo/1906 Acuña/Cuestionarios empresas/Oficio para camaras/Propuesta de invitación Comerciantes.docx</v>
      </c>
      <c r="J46" t="s">
        <v>10</v>
      </c>
      <c r="K46" t="s">
        <v>271</v>
      </c>
      <c r="L46" t="s">
        <v>19</v>
      </c>
      <c r="M46" t="s">
        <v>272</v>
      </c>
      <c r="N46" t="s">
        <v>270</v>
      </c>
      <c r="O46" t="s">
        <v>44</v>
      </c>
      <c r="P46" t="s">
        <v>378</v>
      </c>
      <c r="Q46" t="s">
        <v>381</v>
      </c>
      <c r="R46" t="s">
        <v>259</v>
      </c>
      <c r="S46" t="s">
        <v>430</v>
      </c>
      <c r="T46" t="s">
        <v>583</v>
      </c>
      <c r="U46" t="s">
        <v>545</v>
      </c>
      <c r="W46" t="str">
        <f>VLOOKUP(S46,Hoja1!$A$1:$C$5,3,0)</f>
        <v>C:/Users/Brandon.Lopez/Documents/Trabajo/1906 Acuña/Cuestionarios empresas/Oficio para camaras/Propuesta de invitación Comerciantes.docx</v>
      </c>
      <c r="X46" t="s">
        <v>582</v>
      </c>
      <c r="Y46" s="96" t="str">
        <f t="shared" si="4"/>
        <v xml:space="preserve">Estimado/a LIC. GREGORIO GARZA BALLI
 PRESIDENTE
 CANACO SERVYTUR SABINAS 
</v>
      </c>
      <c r="Z46" s="92" t="s">
        <v>574</v>
      </c>
      <c r="AA46"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v>
      </c>
      <c r="AB46" s="96" t="s">
        <v>577</v>
      </c>
      <c r="AC46" s="94" t="str">
        <f t="shared" si="5"/>
        <v xml:space="preserve">Así mismo, se le reitera que la información que la Cámara o sus agremiados nos proporcionen, se mantendrá en total confidencialidad y será destinada únicamente para los propósitos de este proyecto.
</v>
      </c>
      <c r="AD46" s="94" t="s">
        <v>575</v>
      </c>
      <c r="AE46" s="95" t="str">
        <f t="shared" si="6"/>
        <v xml:space="preserve">
En espera de su respuesta, agradecemos de antemano su colaboración y quedamos a su disposición para una llamada por cualquier duda o aclaración que requiera. ¡Esperamos contar con su valioso apoyo!</v>
      </c>
      <c r="AF46" t="str">
        <f t="shared" si="7"/>
        <v>Estimado/a LIC. GREGORIO GARZA BALLI
 PRESIDENTE
 CANACO SERVYTUR SABINAS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47" spans="1:32" ht="409.5" x14ac:dyDescent="0.25">
      <c r="A47" t="str">
        <f t="shared" si="0"/>
        <v xml:space="preserve">Estimado/a C. ROSA GLORIA DE ARTEAGA 
 PRESIDENTE
 CANACO NUEVA ROSITA 
</v>
      </c>
      <c r="B47" t="str">
        <f t="shared" si="1"/>
        <v>canaco2017@hotmail.com</v>
      </c>
      <c r="C47" s="91" t="s">
        <v>591</v>
      </c>
      <c r="D47" s="90" t="s">
        <v>573</v>
      </c>
      <c r="E47" t="s">
        <v>590</v>
      </c>
      <c r="F47" s="96" t="s">
        <v>637</v>
      </c>
      <c r="G47" t="str">
        <f t="shared" si="2"/>
        <v>C:/Users/Brandon.Lopez/Documents/Trabajo/1906 Acuña/Cuestionarios empresas/Oficio para camaras/PDF/Oficio_46_CANACO_NUEVA_ROSITA.pdf</v>
      </c>
      <c r="H47" s="98" t="s">
        <v>580</v>
      </c>
      <c r="I47" t="str">
        <f t="shared" si="3"/>
        <v>C:/Users/Brandon.Lopez/Documents/Trabajo/1906 Acuña/Cuestionarios empresas/Oficio para camaras/Propuesta de invitación Comerciantes.docx</v>
      </c>
      <c r="J47" t="s">
        <v>274</v>
      </c>
      <c r="K47" t="s">
        <v>275</v>
      </c>
      <c r="L47" t="s">
        <v>276</v>
      </c>
      <c r="N47" t="s">
        <v>273</v>
      </c>
      <c r="O47" t="s">
        <v>44</v>
      </c>
      <c r="P47" t="s">
        <v>379</v>
      </c>
      <c r="Q47" t="s">
        <v>277</v>
      </c>
      <c r="R47" t="s">
        <v>278</v>
      </c>
      <c r="S47" t="s">
        <v>430</v>
      </c>
      <c r="T47" t="s">
        <v>583</v>
      </c>
      <c r="U47" t="s">
        <v>546</v>
      </c>
      <c r="W47" t="str">
        <f>VLOOKUP(S47,Hoja1!$A$1:$C$5,3,0)</f>
        <v>C:/Users/Brandon.Lopez/Documents/Trabajo/1906 Acuña/Cuestionarios empresas/Oficio para camaras/Propuesta de invitación Comerciantes.docx</v>
      </c>
      <c r="X47" t="s">
        <v>582</v>
      </c>
      <c r="Y47" s="96" t="str">
        <f t="shared" si="4"/>
        <v xml:space="preserve">Estimado/a C. ROSA GLORIA DE ARTEAGA 
 PRESIDENTE
 CANACO NUEVA ROSITA 
</v>
      </c>
      <c r="Z47" s="92" t="s">
        <v>574</v>
      </c>
      <c r="AA47"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v>
      </c>
      <c r="AB47" s="96" t="s">
        <v>577</v>
      </c>
      <c r="AC47" s="94" t="str">
        <f t="shared" si="5"/>
        <v xml:space="preserve">Así mismo, se le reitera que la información que la Cámara o sus agremiados nos proporcionen, se mantendrá en total confidencialidad y será destinada únicamente para los propósitos de este proyecto.
</v>
      </c>
      <c r="AD47" s="94" t="s">
        <v>575</v>
      </c>
      <c r="AE47" s="95" t="str">
        <f t="shared" si="6"/>
        <v xml:space="preserve">
En espera de su respuesta, agradecemos de antemano su colaboración y quedamos a su disposición para una llamada por cualquier duda o aclaración que requiera. ¡Esperamos contar con su valioso apoyo!</v>
      </c>
      <c r="AF47" t="str">
        <f t="shared" si="7"/>
        <v>Estimado/a C. ROSA GLORIA DE ARTEAGA 
 PRESIDENTE
 CANACO NUEVA ROSITA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48" spans="1:32" ht="409.5" x14ac:dyDescent="0.25">
      <c r="A48" t="str">
        <f t="shared" si="0"/>
        <v xml:space="preserve">Estimado/a LIC. IRIS YANETH ARIAS MARTÍNEZ
 GERENTE
 CANACINTRA DELEGACION ACUÑA  
</v>
      </c>
      <c r="B48" t="str">
        <f t="shared" si="1"/>
        <v>direccion@canacintraacuna.com.mx; cdacuna@canacintra.org.mx</v>
      </c>
      <c r="C48" s="91" t="s">
        <v>591</v>
      </c>
      <c r="D48" s="90" t="s">
        <v>573</v>
      </c>
      <c r="E48" t="s">
        <v>590</v>
      </c>
      <c r="F48" s="96" t="s">
        <v>638</v>
      </c>
      <c r="G48" t="str">
        <f t="shared" si="2"/>
        <v>C:/Users/Brandon.Lopez/Documents/Trabajo/1906 Acuña/Cuestionarios empresas/Oficio para camaras/PDF/Oficio_47_CANACINTRA_DELEGACION_ACUÑA_.pdf</v>
      </c>
      <c r="H48" s="98" t="s">
        <v>580</v>
      </c>
      <c r="I48" t="str">
        <f t="shared" si="3"/>
        <v>C:/Users/Brandon.Lopez/Documents/Trabajo/1906 Acuña/Cuestionarios empresas/Oficio para camaras/Propuesta de invitación Empresas.docx</v>
      </c>
      <c r="J48" t="s">
        <v>10</v>
      </c>
      <c r="K48" t="s">
        <v>288</v>
      </c>
      <c r="L48" t="s">
        <v>289</v>
      </c>
      <c r="M48" t="s">
        <v>20</v>
      </c>
      <c r="N48" t="s">
        <v>285</v>
      </c>
      <c r="O48" t="s">
        <v>35</v>
      </c>
      <c r="P48" t="s">
        <v>355</v>
      </c>
      <c r="Q48" t="s">
        <v>290</v>
      </c>
      <c r="R48" t="s">
        <v>287</v>
      </c>
      <c r="S48" t="s">
        <v>428</v>
      </c>
      <c r="T48" t="s">
        <v>581</v>
      </c>
      <c r="U48" t="s">
        <v>547</v>
      </c>
      <c r="W48" t="str">
        <f>VLOOKUP(S48,Hoja1!$A$1:$C$5,3,0)</f>
        <v>C:/Users/Brandon.Lopez/Documents/Trabajo/1906 Acuña/Cuestionarios empresas/Oficio para camaras/Propuesta de invitación Empresas.docx</v>
      </c>
      <c r="X48" t="s">
        <v>582</v>
      </c>
      <c r="Y48" s="96" t="str">
        <f t="shared" si="4"/>
        <v xml:space="preserve">Estimado/a LIC. IRIS YANETH ARIAS MARTÍNEZ
 GERENTE
 CANACINTRA DELEGACION ACUÑA  
</v>
      </c>
      <c r="Z48" s="92" t="s">
        <v>574</v>
      </c>
      <c r="AA48"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48" s="96" t="s">
        <v>577</v>
      </c>
      <c r="AC48" s="94" t="str">
        <f t="shared" si="5"/>
        <v xml:space="preserve">Así mismo, se le reitera que la información que la Cámara o sus agremiados nos proporcionen, se mantendrá en total confidencialidad y será destinada únicamente para los propósitos de este proyecto.
</v>
      </c>
      <c r="AD48" s="94" t="s">
        <v>575</v>
      </c>
      <c r="AE48" s="95" t="str">
        <f t="shared" si="6"/>
        <v xml:space="preserve">
En espera de su respuesta, agradecemos de antemano su colaboración y quedamos a su disposición para una llamada por cualquier duda o aclaración que requiera. ¡Esperamos contar con su valioso apoyo!</v>
      </c>
      <c r="AF48" t="str">
        <f t="shared" si="7"/>
        <v>Estimado/a LIC. IRIS YANETH ARIAS MARTÍNEZ
 GERENTE
 CANACINTRA DELEGACION ACUÑA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49" spans="1:32" ht="409.5" x14ac:dyDescent="0.25">
      <c r="A49" t="str">
        <f t="shared" si="0"/>
        <v xml:space="preserve">Estimado/a ING. CARMEN CORNELIO VALLEJO
 DIRECTORA
 CANACO SERVYTUR ACUÑA 
</v>
      </c>
      <c r="B49" t="str">
        <f t="shared" si="1"/>
        <v>turismocanaco@gmail.com</v>
      </c>
      <c r="C49" s="91" t="s">
        <v>591</v>
      </c>
      <c r="D49" s="90" t="s">
        <v>573</v>
      </c>
      <c r="E49" t="s">
        <v>590</v>
      </c>
      <c r="F49" s="96" t="s">
        <v>639</v>
      </c>
      <c r="G49" t="str">
        <f t="shared" si="2"/>
        <v>C:/Users/Brandon.Lopez/Documents/Trabajo/1906 Acuña/Cuestionarios empresas/Oficio para camaras/PDF/Oficio_48_CANACO_SERVYTUR_ACUÑA.pdf</v>
      </c>
      <c r="H49" s="98" t="s">
        <v>580</v>
      </c>
      <c r="I49" t="str">
        <f t="shared" si="3"/>
        <v>C:/Users/Brandon.Lopez/Documents/Trabajo/1906 Acuña/Cuestionarios empresas/Oficio para camaras/Propuesta de invitación Comerciantes.docx</v>
      </c>
      <c r="J49" t="s">
        <v>18</v>
      </c>
      <c r="K49" t="s">
        <v>292</v>
      </c>
      <c r="L49" t="s">
        <v>293</v>
      </c>
      <c r="M49" t="s">
        <v>294</v>
      </c>
      <c r="N49" t="s">
        <v>291</v>
      </c>
      <c r="O49" t="s">
        <v>142</v>
      </c>
      <c r="P49" t="s">
        <v>356</v>
      </c>
      <c r="Q49" t="s">
        <v>448</v>
      </c>
      <c r="R49" t="s">
        <v>287</v>
      </c>
      <c r="S49" t="s">
        <v>430</v>
      </c>
      <c r="T49" t="s">
        <v>583</v>
      </c>
      <c r="U49" t="s">
        <v>548</v>
      </c>
      <c r="W49" t="str">
        <f>VLOOKUP(S49,Hoja1!$A$1:$C$5,3,0)</f>
        <v>C:/Users/Brandon.Lopez/Documents/Trabajo/1906 Acuña/Cuestionarios empresas/Oficio para camaras/Propuesta de invitación Comerciantes.docx</v>
      </c>
      <c r="X49" t="s">
        <v>582</v>
      </c>
      <c r="Y49" s="96" t="str">
        <f t="shared" si="4"/>
        <v xml:space="preserve">Estimado/a ING. CARMEN CORNELIO VALLEJO
 DIRECTORA
 CANACO SERVYTUR ACUÑA 
</v>
      </c>
      <c r="Z49" s="92" t="s">
        <v>574</v>
      </c>
      <c r="AA49"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v>
      </c>
      <c r="AB49" s="96" t="s">
        <v>577</v>
      </c>
      <c r="AC49" s="94" t="str">
        <f t="shared" si="5"/>
        <v xml:space="preserve">Así mismo, se le reitera que la información que la Cámara o sus agremiados nos proporcionen, se mantendrá en total confidencialidad y será destinada únicamente para los propósitos de este proyecto.
</v>
      </c>
      <c r="AD49" s="94" t="s">
        <v>575</v>
      </c>
      <c r="AE49" s="95" t="str">
        <f t="shared" si="6"/>
        <v xml:space="preserve">
En espera de su respuesta, agradecemos de antemano su colaboración y quedamos a su disposición para una llamada por cualquier duda o aclaración que requiera. ¡Esperamos contar con su valioso apoyo!</v>
      </c>
      <c r="AF49" t="str">
        <f t="shared" si="7"/>
        <v>Estimado/a ING. CARMEN CORNELIO VALLEJO
 DIRECTORA
 CANACO SERVYTUR ACUÑA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50" spans="1:32" ht="409.5" x14ac:dyDescent="0.25">
      <c r="A50" t="str">
        <f t="shared" si="0"/>
        <v xml:space="preserve">Estimado/a LIC. MANUEL RAMÓN LOSOYA
 PRESIDENTE
 COMITÉ DE DESARROLLO ECONÓMICO 
</v>
      </c>
      <c r="B50" t="str">
        <f t="shared" si="1"/>
        <v>mramon@chevyriogrande.com;</v>
      </c>
      <c r="C50" s="91" t="s">
        <v>591</v>
      </c>
      <c r="D50" s="90" t="s">
        <v>573</v>
      </c>
      <c r="E50" t="s">
        <v>590</v>
      </c>
      <c r="F50" s="96" t="s">
        <v>640</v>
      </c>
      <c r="G50" t="str">
        <f t="shared" si="2"/>
        <v>C:/Users/Brandon.Lopez/Documents/Trabajo/1906 Acuña/Cuestionarios empresas/Oficio para camaras/PDF/Oficio_49_COMITÉ_DE_DESARROLLO_ECONÓMICO.pdf</v>
      </c>
      <c r="H50" s="98" t="s">
        <v>580</v>
      </c>
      <c r="I50" t="str">
        <f t="shared" si="3"/>
        <v>C:/Users/Brandon.Lopez/Documents/Trabajo/1906 Acuña/Cuestionarios empresas/Oficio para camaras/Propuesta de invitación Empresas.docx</v>
      </c>
      <c r="J50" t="s">
        <v>10</v>
      </c>
      <c r="K50" t="s">
        <v>301</v>
      </c>
      <c r="L50" t="s">
        <v>237</v>
      </c>
      <c r="M50" t="s">
        <v>302</v>
      </c>
      <c r="N50" t="s">
        <v>300</v>
      </c>
      <c r="O50" t="s">
        <v>44</v>
      </c>
      <c r="P50" t="s">
        <v>358</v>
      </c>
      <c r="Q50" t="s">
        <v>303</v>
      </c>
      <c r="R50" t="s">
        <v>287</v>
      </c>
      <c r="S50" t="s">
        <v>428</v>
      </c>
      <c r="T50" t="s">
        <v>581</v>
      </c>
      <c r="U50" t="s">
        <v>549</v>
      </c>
      <c r="W50" t="str">
        <f>VLOOKUP(S50,Hoja1!$A$1:$C$5,3,0)</f>
        <v>C:/Users/Brandon.Lopez/Documents/Trabajo/1906 Acuña/Cuestionarios empresas/Oficio para camaras/Propuesta de invitación Empresas.docx</v>
      </c>
      <c r="X50" t="s">
        <v>582</v>
      </c>
      <c r="Y50" s="96" t="str">
        <f t="shared" si="4"/>
        <v xml:space="preserve">Estimado/a LIC. MANUEL RAMÓN LOSOYA
 PRESIDENTE
 COMITÉ DE DESARROLLO ECONÓMICO 
</v>
      </c>
      <c r="Z50" s="92" t="s">
        <v>574</v>
      </c>
      <c r="AA50"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50" s="96" t="s">
        <v>577</v>
      </c>
      <c r="AC50" s="94" t="str">
        <f t="shared" si="5"/>
        <v xml:space="preserve">Así mismo, se le reitera que la información que la Cámara o sus agremiados nos proporcionen, se mantendrá en total confidencialidad y será destinada únicamente para los propósitos de este proyecto.
</v>
      </c>
      <c r="AD50" s="94" t="s">
        <v>575</v>
      </c>
      <c r="AE50" s="95" t="str">
        <f t="shared" si="6"/>
        <v xml:space="preserve">
En espera de su respuesta, agradecemos de antemano su colaboración y quedamos a su disposición para una llamada por cualquier duda o aclaración que requiera. ¡Esperamos contar con su valioso apoyo!</v>
      </c>
      <c r="AF50" t="str">
        <f t="shared" si="7"/>
        <v>Estimado/a LIC. MANUEL RAMÓN LOSOYA
 PRESIDENTE
 COMITÉ DE DESARROLLO ECONÓMICO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51" spans="1:32" ht="409.5" x14ac:dyDescent="0.25">
      <c r="A51" t="str">
        <f t="shared" si="0"/>
        <v xml:space="preserve">Estimado/a SR. TOBY COGGINS 
 VICEPRESIDENTE DE LA ASOCIACIÓN
 ASOCIACIÓN DE MAQUILADORAS DE ACUÑA, A.C. (INDEX) 
</v>
      </c>
      <c r="B51" t="str">
        <f t="shared" si="1"/>
        <v>asociaciondemaquiladorasac@gmail.com</v>
      </c>
      <c r="C51" s="91" t="s">
        <v>591</v>
      </c>
      <c r="D51" s="90" t="s">
        <v>573</v>
      </c>
      <c r="E51" t="s">
        <v>590</v>
      </c>
      <c r="F51" s="96" t="s">
        <v>641</v>
      </c>
      <c r="G51" t="str">
        <f t="shared" si="2"/>
        <v>C:/Users/Brandon.Lopez/Documents/Trabajo/1906 Acuña/Cuestionarios empresas/Oficio para camaras/PDF/Oficio_50_ASOCIACIÓN_DE_MAQUILADORAS_DE_ACUÑA__A.C._(INDEX).pdf</v>
      </c>
      <c r="H51" s="98" t="s">
        <v>580</v>
      </c>
      <c r="I51" t="str">
        <f t="shared" si="3"/>
        <v>C:/Users/Brandon.Lopez/Documents/Trabajo/1906 Acuña/Cuestionarios empresas/Oficio para camaras/Propuesta de invitación Empresas.docx</v>
      </c>
      <c r="J51" t="s">
        <v>60</v>
      </c>
      <c r="K51" t="s">
        <v>497</v>
      </c>
      <c r="L51" t="s">
        <v>496</v>
      </c>
      <c r="N51" t="s">
        <v>305</v>
      </c>
      <c r="O51" t="s">
        <v>306</v>
      </c>
      <c r="P51" t="s">
        <v>359</v>
      </c>
      <c r="Q51" t="s">
        <v>446</v>
      </c>
      <c r="R51" t="s">
        <v>287</v>
      </c>
      <c r="S51" t="s">
        <v>428</v>
      </c>
      <c r="T51" t="s">
        <v>581</v>
      </c>
      <c r="U51" t="s">
        <v>550</v>
      </c>
      <c r="W51" t="str">
        <f>VLOOKUP(S51,Hoja1!$A$1:$C$5,3,0)</f>
        <v>C:/Users/Brandon.Lopez/Documents/Trabajo/1906 Acuña/Cuestionarios empresas/Oficio para camaras/Propuesta de invitación Empresas.docx</v>
      </c>
      <c r="X51" t="s">
        <v>582</v>
      </c>
      <c r="Y51" s="96" t="str">
        <f t="shared" si="4"/>
        <v xml:space="preserve">Estimado/a SR. TOBY COGGINS 
 VICEPRESIDENTE DE LA ASOCIACIÓN
 ASOCIACIÓN DE MAQUILADORAS DE ACUÑA, A.C. (INDEX) 
</v>
      </c>
      <c r="Z51" s="92" t="s">
        <v>574</v>
      </c>
      <c r="AA51"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51" s="96" t="s">
        <v>577</v>
      </c>
      <c r="AC51" s="94" t="str">
        <f t="shared" si="5"/>
        <v xml:space="preserve">Así mismo, se le reitera que la información que la Cámara o sus agremiados nos proporcionen, se mantendrá en total confidencialidad y será destinada únicamente para los propósitos de este proyecto.
</v>
      </c>
      <c r="AD51" s="94" t="s">
        <v>575</v>
      </c>
      <c r="AE51" s="95" t="str">
        <f t="shared" si="6"/>
        <v xml:space="preserve">
En espera de su respuesta, agradecemos de antemano su colaboración y quedamos a su disposición para una llamada por cualquier duda o aclaración que requiera. ¡Esperamos contar con su valioso apoyo!</v>
      </c>
      <c r="AF51" t="str">
        <f t="shared" si="7"/>
        <v>Estimado/a SR. TOBY COGGINS 
 VICEPRESIDENTE DE LA ASOCIACIÓN
 ASOCIACIÓN DE MAQUILADORAS DE ACUÑA, A.C. (INDEX)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52" spans="1:32" ht="409.5" x14ac:dyDescent="0.25">
      <c r="A52" t="str">
        <f t="shared" si="0"/>
        <v xml:space="preserve">Estimado/a LIC. TRINIDAD HERRERA 
 DIRECTOR DE LA ASOCIACIÓN
 ASOCIACIÓN DE MAQUILADORAS DE ACUÑA, A.C. (INDEX) 
</v>
      </c>
      <c r="B52" t="str">
        <f t="shared" si="1"/>
        <v>hdzcastillayasociados@gmail.com</v>
      </c>
      <c r="C52" s="91" t="s">
        <v>591</v>
      </c>
      <c r="D52" s="90" t="s">
        <v>573</v>
      </c>
      <c r="E52" t="s">
        <v>590</v>
      </c>
      <c r="F52" s="96" t="s">
        <v>642</v>
      </c>
      <c r="G52" t="str">
        <f t="shared" si="2"/>
        <v>C:/Users/Brandon.Lopez/Documents/Trabajo/1906 Acuña/Cuestionarios empresas/Oficio para camaras/PDF/Oficio_51_ASOCIACIÓN_DE_MAQUILADORAS_DE_ACUÑA__A.C._(INDEX).pdf</v>
      </c>
      <c r="H52" s="98" t="s">
        <v>580</v>
      </c>
      <c r="I52" t="str">
        <f t="shared" si="3"/>
        <v>C:/Users/Brandon.Lopez/Documents/Trabajo/1906 Acuña/Cuestionarios empresas/Oficio para camaras/Propuesta de invitación Empresas.docx</v>
      </c>
      <c r="J52" t="s">
        <v>10</v>
      </c>
      <c r="K52" t="s">
        <v>498</v>
      </c>
      <c r="L52" t="s">
        <v>499</v>
      </c>
      <c r="N52" t="s">
        <v>305</v>
      </c>
      <c r="O52" t="s">
        <v>309</v>
      </c>
      <c r="P52" t="s">
        <v>360</v>
      </c>
      <c r="Q52" t="s">
        <v>444</v>
      </c>
      <c r="R52" t="s">
        <v>287</v>
      </c>
      <c r="S52" t="s">
        <v>428</v>
      </c>
      <c r="T52" t="s">
        <v>581</v>
      </c>
      <c r="U52" t="s">
        <v>551</v>
      </c>
      <c r="W52" t="str">
        <f>VLOOKUP(S52,Hoja1!$A$1:$C$5,3,0)</f>
        <v>C:/Users/Brandon.Lopez/Documents/Trabajo/1906 Acuña/Cuestionarios empresas/Oficio para camaras/Propuesta de invitación Empresas.docx</v>
      </c>
      <c r="X52" t="s">
        <v>582</v>
      </c>
      <c r="Y52" s="96" t="str">
        <f t="shared" si="4"/>
        <v xml:space="preserve">Estimado/a LIC. TRINIDAD HERRERA 
 DIRECTOR DE LA ASOCIACIÓN
 ASOCIACIÓN DE MAQUILADORAS DE ACUÑA, A.C. (INDEX) 
</v>
      </c>
      <c r="Z52" s="92" t="s">
        <v>574</v>
      </c>
      <c r="AA52"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52" s="96" t="s">
        <v>577</v>
      </c>
      <c r="AC52" s="94" t="str">
        <f t="shared" si="5"/>
        <v xml:space="preserve">Así mismo, se le reitera que la información que la Cámara o sus agremiados nos proporcionen, se mantendrá en total confidencialidad y será destinada únicamente para los propósitos de este proyecto.
</v>
      </c>
      <c r="AD52" s="94" t="s">
        <v>575</v>
      </c>
      <c r="AE52" s="95" t="str">
        <f t="shared" si="6"/>
        <v xml:space="preserve">
En espera de su respuesta, agradecemos de antemano su colaboración y quedamos a su disposición para una llamada por cualquier duda o aclaración que requiera. ¡Esperamos contar con su valioso apoyo!</v>
      </c>
      <c r="AF52" t="str">
        <f t="shared" si="7"/>
        <v>Estimado/a LIC. TRINIDAD HERRERA 
 DIRECTOR DE LA ASOCIACIÓN
 ASOCIACIÓN DE MAQUILADORAS DE ACUÑA, A.C. (INDEX)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53" spans="1:32" ht="409.5" x14ac:dyDescent="0.25">
      <c r="A53" t="str">
        <f t="shared" si="0"/>
        <v xml:space="preserve">Estimado/a ING. ANTONIO RODRIGUEZ  GUAJARDO
 PRESIDENTE
 UNION DE ORGANISMOS EMPRESARIALES  
</v>
      </c>
      <c r="B53" t="str">
        <f t="shared" si="1"/>
        <v>canacintra_acuna@prodigy.net.mx; roguantonio@hotmail.com; angela4958@hotmail.com;</v>
      </c>
      <c r="C53" s="91" t="s">
        <v>591</v>
      </c>
      <c r="D53" s="90" t="s">
        <v>573</v>
      </c>
      <c r="E53" t="s">
        <v>590</v>
      </c>
      <c r="F53" s="96" t="s">
        <v>643</v>
      </c>
      <c r="G53" t="str">
        <f t="shared" si="2"/>
        <v>C:/Users/Brandon.Lopez/Documents/Trabajo/1906 Acuña/Cuestionarios empresas/Oficio para camaras/PDF/Oficio_52_UNION_DE_ORGANISMOS_EMPRESARIALES_.pdf</v>
      </c>
      <c r="H53" s="98" t="s">
        <v>580</v>
      </c>
      <c r="I53" t="str">
        <f t="shared" si="3"/>
        <v>C:/Users/Brandon.Lopez/Documents/Trabajo/1906 Acuña/Cuestionarios empresas/Oficio para camaras/Propuesta de invitación Empresas.docx</v>
      </c>
      <c r="J53" t="s">
        <v>18</v>
      </c>
      <c r="K53" t="s">
        <v>311</v>
      </c>
      <c r="L53" t="s">
        <v>312</v>
      </c>
      <c r="M53" t="s">
        <v>313</v>
      </c>
      <c r="N53" t="s">
        <v>310</v>
      </c>
      <c r="O53" t="s">
        <v>44</v>
      </c>
      <c r="P53" t="s">
        <v>361</v>
      </c>
      <c r="Q53" t="s">
        <v>314</v>
      </c>
      <c r="R53" t="s">
        <v>287</v>
      </c>
      <c r="S53" t="s">
        <v>428</v>
      </c>
      <c r="T53" t="s">
        <v>581</v>
      </c>
      <c r="U53" t="s">
        <v>552</v>
      </c>
      <c r="W53" t="str">
        <f>VLOOKUP(S53,Hoja1!$A$1:$C$5,3,0)</f>
        <v>C:/Users/Brandon.Lopez/Documents/Trabajo/1906 Acuña/Cuestionarios empresas/Oficio para camaras/Propuesta de invitación Empresas.docx</v>
      </c>
      <c r="X53" t="s">
        <v>582</v>
      </c>
      <c r="Y53" s="96" t="str">
        <f t="shared" si="4"/>
        <v xml:space="preserve">Estimado/a ING. ANTONIO RODRIGUEZ  GUAJARDO
 PRESIDENTE
 UNION DE ORGANISMOS EMPRESARIALES  
</v>
      </c>
      <c r="Z53" s="92" t="s">
        <v>574</v>
      </c>
      <c r="AA53"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53" s="96" t="s">
        <v>577</v>
      </c>
      <c r="AC53" s="94" t="str">
        <f t="shared" si="5"/>
        <v xml:space="preserve">Así mismo, se le reitera que la información que la Cámara o sus agremiados nos proporcionen, se mantendrá en total confidencialidad y será destinada únicamente para los propósitos de este proyecto.
</v>
      </c>
      <c r="AD53" s="94" t="s">
        <v>575</v>
      </c>
      <c r="AE53" s="95" t="str">
        <f t="shared" si="6"/>
        <v xml:space="preserve">
En espera de su respuesta, agradecemos de antemano su colaboración y quedamos a su disposición para una llamada por cualquier duda o aclaración que requiera. ¡Esperamos contar con su valioso apoyo!</v>
      </c>
      <c r="AF53" t="str">
        <f t="shared" si="7"/>
        <v>Estimado/a ING. ANTONIO RODRIGUEZ  GUAJARDO
 PRESIDENTE
 UNION DE ORGANISMOS EMPRESARIALES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54" spans="1:32" ht="409.5" x14ac:dyDescent="0.25">
      <c r="A54" t="str">
        <f t="shared" si="0"/>
        <v xml:space="preserve">Estimado/a ING. KORAYMA SELENY GARCÍA GONZÁLEZ
 GERENTE
 CANACO PIEDRAS NEGRAS 
</v>
      </c>
      <c r="B54" t="str">
        <f t="shared" si="1"/>
        <v>canacopn2013@hotmail.com;</v>
      </c>
      <c r="C54" s="91" t="s">
        <v>591</v>
      </c>
      <c r="D54" s="90" t="s">
        <v>573</v>
      </c>
      <c r="E54" t="s">
        <v>590</v>
      </c>
      <c r="F54" s="96" t="s">
        <v>644</v>
      </c>
      <c r="G54" t="str">
        <f t="shared" si="2"/>
        <v>C:/Users/Brandon.Lopez/Documents/Trabajo/1906 Acuña/Cuestionarios empresas/Oficio para camaras/PDF/Oficio_53_CANACO_PIEDRAS_NEGRAS.pdf</v>
      </c>
      <c r="H54" s="98" t="s">
        <v>580</v>
      </c>
      <c r="I54" t="str">
        <f t="shared" si="3"/>
        <v>C:/Users/Brandon.Lopez/Documents/Trabajo/1906 Acuña/Cuestionarios empresas/Oficio para camaras/Propuesta de invitación Comerciantes.docx</v>
      </c>
      <c r="J54" t="s">
        <v>18</v>
      </c>
      <c r="K54" t="s">
        <v>317</v>
      </c>
      <c r="L54" t="s">
        <v>318</v>
      </c>
      <c r="M54" t="s">
        <v>75</v>
      </c>
      <c r="N54" t="s">
        <v>315</v>
      </c>
      <c r="O54" t="s">
        <v>35</v>
      </c>
      <c r="P54" t="s">
        <v>362</v>
      </c>
      <c r="Q54" t="s">
        <v>319</v>
      </c>
      <c r="R54" t="s">
        <v>316</v>
      </c>
      <c r="S54" t="s">
        <v>430</v>
      </c>
      <c r="T54" t="s">
        <v>583</v>
      </c>
      <c r="U54" t="s">
        <v>553</v>
      </c>
      <c r="W54" t="str">
        <f>VLOOKUP(S54,Hoja1!$A$1:$C$5,3,0)</f>
        <v>C:/Users/Brandon.Lopez/Documents/Trabajo/1906 Acuña/Cuestionarios empresas/Oficio para camaras/Propuesta de invitación Comerciantes.docx</v>
      </c>
      <c r="X54" t="s">
        <v>582</v>
      </c>
      <c r="Y54" s="96" t="str">
        <f t="shared" si="4"/>
        <v xml:space="preserve">Estimado/a ING. KORAYMA SELENY GARCÍA GONZÁLEZ
 GERENTE
 CANACO PIEDRAS NEGRAS 
</v>
      </c>
      <c r="Z54" s="92" t="s">
        <v>574</v>
      </c>
      <c r="AA54"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v>
      </c>
      <c r="AB54" s="96" t="s">
        <v>577</v>
      </c>
      <c r="AC54" s="94" t="str">
        <f t="shared" si="5"/>
        <v xml:space="preserve">Así mismo, se le reitera que la información que la Cámara o sus agremiados nos proporcionen, se mantendrá en total confidencialidad y será destinada únicamente para los propósitos de este proyecto.
</v>
      </c>
      <c r="AD54" s="94" t="s">
        <v>575</v>
      </c>
      <c r="AE54" s="95" t="str">
        <f t="shared" si="6"/>
        <v xml:space="preserve">
En espera de su respuesta, agradecemos de antemano su colaboración y quedamos a su disposición para una llamada por cualquier duda o aclaración que requiera. ¡Esperamos contar con su valioso apoyo!</v>
      </c>
      <c r="AF54" t="str">
        <f t="shared" si="7"/>
        <v>Estimado/a ING. KORAYMA SELENY GARCÍA GONZÁLEZ
 GERENTE
 CANACO PIEDRAS NEGRAS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anónima.:https://forms.gle/jHH5VjT1WmWcRtWWA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55" spans="1:32" ht="409.5" x14ac:dyDescent="0.25">
      <c r="A55" t="str">
        <f t="shared" si="0"/>
        <v xml:space="preserve">Estimado/a ING. KARLA CADENA ACOSTA
 GERENTE GENERAL
 CANACINTRA DELEGACIÓN PIEDRAS NEGRAS 
</v>
      </c>
      <c r="B55" t="str">
        <f t="shared" si="1"/>
        <v>canacintrapiedrasnegras@hotmail.com</v>
      </c>
      <c r="C55" s="91" t="s">
        <v>591</v>
      </c>
      <c r="D55" s="90" t="s">
        <v>573</v>
      </c>
      <c r="E55" t="s">
        <v>590</v>
      </c>
      <c r="F55" s="96" t="s">
        <v>645</v>
      </c>
      <c r="G55" t="str">
        <f t="shared" si="2"/>
        <v>C:/Users/Brandon.Lopez/Documents/Trabajo/1906 Acuña/Cuestionarios empresas/Oficio para camaras/PDF/Oficio_54_CANACINTRA_DELEGACIÓN_PIEDRAS_NEGRAS.pdf</v>
      </c>
      <c r="H55" s="98" t="s">
        <v>580</v>
      </c>
      <c r="I55" t="str">
        <f t="shared" si="3"/>
        <v>C:/Users/Brandon.Lopez/Documents/Trabajo/1906 Acuña/Cuestionarios empresas/Oficio para camaras/Propuesta de invitación Empresas.docx</v>
      </c>
      <c r="J55" t="s">
        <v>18</v>
      </c>
      <c r="K55" t="s">
        <v>483</v>
      </c>
      <c r="L55" t="s">
        <v>484</v>
      </c>
      <c r="M55" t="s">
        <v>485</v>
      </c>
      <c r="N55" t="s">
        <v>320</v>
      </c>
      <c r="O55" t="s">
        <v>211</v>
      </c>
      <c r="P55" t="s">
        <v>363</v>
      </c>
      <c r="Q55" t="s">
        <v>486</v>
      </c>
      <c r="R55" t="s">
        <v>316</v>
      </c>
      <c r="S55" t="s">
        <v>428</v>
      </c>
      <c r="T55" t="s">
        <v>581</v>
      </c>
      <c r="U55" t="s">
        <v>554</v>
      </c>
      <c r="W55" t="str">
        <f>VLOOKUP(S55,Hoja1!$A$1:$C$5,3,0)</f>
        <v>C:/Users/Brandon.Lopez/Documents/Trabajo/1906 Acuña/Cuestionarios empresas/Oficio para camaras/Propuesta de invitación Empresas.docx</v>
      </c>
      <c r="X55" t="s">
        <v>582</v>
      </c>
      <c r="Y55" s="96" t="str">
        <f t="shared" si="4"/>
        <v xml:space="preserve">Estimado/a ING. KARLA CADENA ACOSTA
 GERENTE GENERAL
 CANACINTRA DELEGACIÓN PIEDRAS NEGRAS 
</v>
      </c>
      <c r="Z55" s="92" t="s">
        <v>574</v>
      </c>
      <c r="AA55"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55" s="96" t="s">
        <v>577</v>
      </c>
      <c r="AC55" s="94" t="str">
        <f t="shared" si="5"/>
        <v xml:space="preserve">Así mismo, se le reitera que la información que la Cámara o sus agremiados nos proporcionen, se mantendrá en total confidencialidad y será destinada únicamente para los propósitos de este proyecto.
</v>
      </c>
      <c r="AD55" s="94" t="s">
        <v>575</v>
      </c>
      <c r="AE55" s="95" t="str">
        <f t="shared" si="6"/>
        <v xml:space="preserve">
En espera de su respuesta, agradecemos de antemano su colaboración y quedamos a su disposición para una llamada por cualquier duda o aclaración que requiera. ¡Esperamos contar con su valioso apoyo!</v>
      </c>
      <c r="AF55" t="str">
        <f t="shared" si="7"/>
        <v>Estimado/a ING. KARLA CADENA ACOSTA
 GERENTE GENERAL
 CANACINTRA DELEGACIÓN PIEDRAS NEGRAS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56" spans="1:32" ht="409.5" x14ac:dyDescent="0.25">
      <c r="A56" t="str">
        <f t="shared" si="0"/>
        <v xml:space="preserve">Estimado/a ING. MORRIS  LIBSON  VALDES
 PRESIDENTE
 CONSEJO DE FOMENTO ECONOMICO DE PIEDRAS NEGRAS 
</v>
      </c>
      <c r="B56" t="str">
        <f t="shared" si="1"/>
        <v>conagas19@conagas.com;</v>
      </c>
      <c r="C56" s="91" t="s">
        <v>591</v>
      </c>
      <c r="D56" s="90" t="s">
        <v>573</v>
      </c>
      <c r="E56" t="s">
        <v>590</v>
      </c>
      <c r="F56" s="96" t="s">
        <v>646</v>
      </c>
      <c r="G56" t="str">
        <f t="shared" si="2"/>
        <v>C:/Users/Brandon.Lopez/Documents/Trabajo/1906 Acuña/Cuestionarios empresas/Oficio para camaras/PDF/Oficio_55_CONSEJO_DE_FOMENTO_ECONOMICO_DE_PIEDRAS_NEGRAS.pdf</v>
      </c>
      <c r="H56" s="98" t="s">
        <v>580</v>
      </c>
      <c r="I56" t="str">
        <f t="shared" si="3"/>
        <v>C:/Users/Brandon.Lopez/Documents/Trabajo/1906 Acuña/Cuestionarios empresas/Oficio para camaras/Propuesta de invitación Empresas.docx</v>
      </c>
      <c r="J56" t="s">
        <v>18</v>
      </c>
      <c r="K56" t="s">
        <v>326</v>
      </c>
      <c r="L56" t="s">
        <v>327</v>
      </c>
      <c r="M56" t="s">
        <v>328</v>
      </c>
      <c r="N56" t="s">
        <v>325</v>
      </c>
      <c r="O56" t="s">
        <v>44</v>
      </c>
      <c r="P56" t="s">
        <v>364</v>
      </c>
      <c r="Q56" t="s">
        <v>329</v>
      </c>
      <c r="R56" t="s">
        <v>316</v>
      </c>
      <c r="S56" t="s">
        <v>428</v>
      </c>
      <c r="T56" t="s">
        <v>581</v>
      </c>
      <c r="U56" t="s">
        <v>555</v>
      </c>
      <c r="W56" t="str">
        <f>VLOOKUP(S56,Hoja1!$A$1:$C$5,3,0)</f>
        <v>C:/Users/Brandon.Lopez/Documents/Trabajo/1906 Acuña/Cuestionarios empresas/Oficio para camaras/Propuesta de invitación Empresas.docx</v>
      </c>
      <c r="X56" t="s">
        <v>582</v>
      </c>
      <c r="Y56" s="96" t="str">
        <f t="shared" si="4"/>
        <v xml:space="preserve">Estimado/a ING. MORRIS  LIBSON  VALDES
 PRESIDENTE
 CONSEJO DE FOMENTO ECONOMICO DE PIEDRAS NEGRAS 
</v>
      </c>
      <c r="Z56" s="92" t="s">
        <v>574</v>
      </c>
      <c r="AA56"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56" s="96" t="s">
        <v>577</v>
      </c>
      <c r="AC56" s="94" t="str">
        <f t="shared" si="5"/>
        <v xml:space="preserve">Así mismo, se le reitera que la información que la Cámara o sus agremiados nos proporcionen, se mantendrá en total confidencialidad y será destinada únicamente para los propósitos de este proyecto.
</v>
      </c>
      <c r="AD56" s="94" t="s">
        <v>575</v>
      </c>
      <c r="AE56" s="95" t="str">
        <f t="shared" si="6"/>
        <v xml:space="preserve">
En espera de su respuesta, agradecemos de antemano su colaboración y quedamos a su disposición para una llamada por cualquier duda o aclaración que requiera. ¡Esperamos contar con su valioso apoyo!</v>
      </c>
      <c r="AF56" t="str">
        <f t="shared" si="7"/>
        <v>Estimado/a ING. MORRIS  LIBSON  VALDES
 PRESIDENTE
 CONSEJO DE FOMENTO ECONOMICO DE PIEDRAS NEGRAS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57" spans="1:32" ht="409.5" x14ac:dyDescent="0.25">
      <c r="A57" t="str">
        <f t="shared" si="0"/>
        <v xml:space="preserve">Estimado/a C.P. GUSTAVO  GUTIÉRREZ GARCIA   
 PRESIDENTE 
 INDEX PIEDRAS NEGRAS 
</v>
      </c>
      <c r="B57" t="str">
        <f t="shared" si="1"/>
        <v xml:space="preserve">direccionpn@indexpiedrasnegras.org.mx; vinculacion@indexpiedrasnegras.org.mx </v>
      </c>
      <c r="C57" s="91" t="s">
        <v>591</v>
      </c>
      <c r="D57" s="90" t="s">
        <v>573</v>
      </c>
      <c r="E57" t="s">
        <v>590</v>
      </c>
      <c r="F57" s="96" t="s">
        <v>647</v>
      </c>
      <c r="G57" t="str">
        <f t="shared" si="2"/>
        <v>C:/Users/Brandon.Lopez/Documents/Trabajo/1906 Acuña/Cuestionarios empresas/Oficio para camaras/PDF/Oficio_56_INDEX_PIEDRAS_NEGRAS.pdf</v>
      </c>
      <c r="H57" s="98" t="s">
        <v>580</v>
      </c>
      <c r="I57" t="str">
        <f t="shared" si="3"/>
        <v>C:/Users/Brandon.Lopez/Documents/Trabajo/1906 Acuña/Cuestionarios empresas/Oficio para camaras/Propuesta de invitación Empresas.docx</v>
      </c>
      <c r="J57" t="s">
        <v>54</v>
      </c>
      <c r="K57" t="s">
        <v>331</v>
      </c>
      <c r="L57" t="s">
        <v>104</v>
      </c>
      <c r="M57" t="s">
        <v>332</v>
      </c>
      <c r="N57" t="s">
        <v>330</v>
      </c>
      <c r="O57" t="s">
        <v>138</v>
      </c>
      <c r="P57" t="s">
        <v>365</v>
      </c>
      <c r="Q57" t="s">
        <v>333</v>
      </c>
      <c r="R57" t="s">
        <v>316</v>
      </c>
      <c r="S57" t="s">
        <v>428</v>
      </c>
      <c r="T57" t="s">
        <v>581</v>
      </c>
      <c r="U57" t="s">
        <v>556</v>
      </c>
      <c r="W57" t="str">
        <f>VLOOKUP(S57,Hoja1!$A$1:$C$5,3,0)</f>
        <v>C:/Users/Brandon.Lopez/Documents/Trabajo/1906 Acuña/Cuestionarios empresas/Oficio para camaras/Propuesta de invitación Empresas.docx</v>
      </c>
      <c r="X57" t="s">
        <v>582</v>
      </c>
      <c r="Y57" s="96" t="str">
        <f t="shared" si="4"/>
        <v xml:space="preserve">Estimado/a C.P. GUSTAVO  GUTIÉRREZ GARCIA   
 PRESIDENTE 
 INDEX PIEDRAS NEGRAS 
</v>
      </c>
      <c r="Z57" s="92" t="s">
        <v>574</v>
      </c>
      <c r="AA57"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v>
      </c>
      <c r="AB57" s="96" t="s">
        <v>577</v>
      </c>
      <c r="AC57" s="94" t="str">
        <f t="shared" si="5"/>
        <v xml:space="preserve">Así mismo, se le reitera que la información que la Cámara o sus agremiados nos proporcionen, se mantendrá en total confidencialidad y será destinada únicamente para los propósitos de este proyecto.
</v>
      </c>
      <c r="AD57" s="94" t="s">
        <v>575</v>
      </c>
      <c r="AE57" s="95" t="str">
        <f t="shared" si="6"/>
        <v xml:space="preserve">
En espera de su respuesta, agradecemos de antemano su colaboración y quedamos a su disposición para una llamada por cualquier duda o aclaración que requiera. ¡Esperamos contar con su valioso apoyo!</v>
      </c>
      <c r="AF57" t="str">
        <f t="shared" si="7"/>
        <v>Estimado/a C.P. GUSTAVO  GUTIÉRREZ GARCIA   
 PRESIDENTE 
 INDEX PIEDRAS NEGRAS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anónima.:https://forms.gle/83kUtEx8hSA39tgy7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58" spans="1:32" ht="409.5" x14ac:dyDescent="0.25">
      <c r="A58" t="str">
        <f t="shared" si="0"/>
        <v xml:space="preserve">Estimado/a C.P. JUAN   GONZÁLEZ RODRÍGUEZ
 GERENTE
 ASOCIACIÓN DE AGENTES ADUANALES DE PIEDRAS NEGRAS, A.C. 
</v>
      </c>
      <c r="B58" t="str">
        <f t="shared" si="1"/>
        <v>juan.gonzalez@aaapn.mx</v>
      </c>
      <c r="C58" s="91" t="s">
        <v>591</v>
      </c>
      <c r="D58" s="90" t="s">
        <v>573</v>
      </c>
      <c r="E58" t="s">
        <v>590</v>
      </c>
      <c r="F58" s="96" t="s">
        <v>648</v>
      </c>
      <c r="G58" t="str">
        <f t="shared" si="2"/>
        <v>C:/Users/Brandon.Lopez/Documents/Trabajo/1906 Acuña/Cuestionarios empresas/Oficio para camaras/PDF/Oficio_57_ASOCIACIÓN_DE_AGENTES_ADUANALES_DE_PIEDRAS_NEGRAS__A.C..pdf</v>
      </c>
      <c r="H58" s="98" t="s">
        <v>580</v>
      </c>
      <c r="I58" t="str">
        <f t="shared" si="3"/>
        <v>C:/Users/Brandon.Lopez/Documents/Trabajo/1906 Acuña/Cuestionarios empresas/Oficio para camaras/Propuesta de invitación Agentes Aduanales.docx</v>
      </c>
      <c r="J58" t="s">
        <v>54</v>
      </c>
      <c r="K58" t="s">
        <v>338</v>
      </c>
      <c r="L58" t="s">
        <v>75</v>
      </c>
      <c r="M58" t="s">
        <v>34</v>
      </c>
      <c r="N58" t="s">
        <v>334</v>
      </c>
      <c r="O58" t="s">
        <v>35</v>
      </c>
      <c r="P58" t="s">
        <v>368</v>
      </c>
      <c r="Q58" t="s">
        <v>339</v>
      </c>
      <c r="R58" t="s">
        <v>316</v>
      </c>
      <c r="S58" t="s">
        <v>431</v>
      </c>
      <c r="T58" t="s">
        <v>585</v>
      </c>
      <c r="U58" t="s">
        <v>557</v>
      </c>
      <c r="W58" t="str">
        <f>VLOOKUP(S58,Hoja1!$A$1:$C$5,3,0)</f>
        <v>C:/Users/Brandon.Lopez/Documents/Trabajo/1906 Acuña/Cuestionarios empresas/Oficio para camaras/Propuesta de invitación Agentes Aduanales.docx</v>
      </c>
      <c r="X58" t="s">
        <v>582</v>
      </c>
      <c r="Y58" s="96" t="str">
        <f t="shared" si="4"/>
        <v xml:space="preserve">Estimado/a C.P. JUAN   GONZÁLEZ RODRÍGUEZ
 GERENTE
 ASOCIACIÓN DE AGENTES ADUANALES DE PIEDRAS NEGRAS, A.C. 
</v>
      </c>
      <c r="Z58" s="92" t="s">
        <v>574</v>
      </c>
      <c r="AA58"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anónima.:https://forms.gle/ML9Kq1n2aGfQywZ56
</v>
      </c>
      <c r="AB58" s="96" t="s">
        <v>577</v>
      </c>
      <c r="AC58" s="94" t="str">
        <f t="shared" si="5"/>
        <v xml:space="preserve">Así mismo, se le reitera que la información que la Cámara o sus agremiados nos proporcionen, se mantendrá en total confidencialidad y será destinada únicamente para los propósitos de este proyecto.
</v>
      </c>
      <c r="AD58" s="94" t="s">
        <v>575</v>
      </c>
      <c r="AE58" s="95" t="str">
        <f t="shared" si="6"/>
        <v xml:space="preserve">
En espera de su respuesta, agradecemos de antemano su colaboración y quedamos a su disposición para una llamada por cualquier duda o aclaración que requiera. ¡Esperamos contar con su valioso apoyo!</v>
      </c>
      <c r="AF58" t="str">
        <f t="shared" si="7"/>
        <v>Estimado/a C.P. JUAN   GONZÁLEZ RODRÍGUEZ
 GERENTE
 ASOCIACIÓN DE AGENTES ADUANALES DE PIEDRAS NEGRAS, A.C.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anónima.:https://forms.gle/ML9Kq1n2aGfQywZ56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row r="59" spans="1:32" ht="409.5" x14ac:dyDescent="0.25">
      <c r="A59" t="str">
        <f t="shared" si="0"/>
        <v xml:space="preserve">Estimado/a C.P. YOLANDA ESTHELA CALDERÓN AMEZCUA
 PRESIDENTE
 ASOCIACION DE AGENTES ADUANALES DE ACUÑA 
</v>
      </c>
      <c r="B59" t="str">
        <f t="shared" si="1"/>
        <v xml:space="preserve">aaaa@aaaa.org.mx;  </v>
      </c>
      <c r="C59" s="91" t="s">
        <v>591</v>
      </c>
      <c r="D59" s="90" t="s">
        <v>573</v>
      </c>
      <c r="E59" t="s">
        <v>590</v>
      </c>
      <c r="F59" s="96" t="s">
        <v>649</v>
      </c>
      <c r="G59" t="str">
        <f t="shared" si="2"/>
        <v>C:/Users/Brandon.Lopez/Documents/Trabajo/1906 Acuña/Cuestionarios empresas/Oficio para camaras/PDF/Oficio_58_ASOCIACION_DE_AGENTES_ADUANALES_DE_ACUÑA.pdf</v>
      </c>
      <c r="H59" s="98" t="s">
        <v>580</v>
      </c>
      <c r="I59" t="str">
        <f t="shared" si="3"/>
        <v>C:/Users/Brandon.Lopez/Documents/Trabajo/1906 Acuña/Cuestionarios empresas/Oficio para camaras/Propuesta de invitación Agentes Aduanales.docx</v>
      </c>
      <c r="J59" t="s">
        <v>54</v>
      </c>
      <c r="K59" t="s">
        <v>344</v>
      </c>
      <c r="L59" t="s">
        <v>345</v>
      </c>
      <c r="M59" t="s">
        <v>346</v>
      </c>
      <c r="N59" t="s">
        <v>343</v>
      </c>
      <c r="O59" t="s">
        <v>44</v>
      </c>
      <c r="P59" t="s">
        <v>369</v>
      </c>
      <c r="Q59" t="s">
        <v>347</v>
      </c>
      <c r="R59" t="s">
        <v>287</v>
      </c>
      <c r="S59" t="s">
        <v>431</v>
      </c>
      <c r="T59" t="s">
        <v>585</v>
      </c>
      <c r="U59" t="s">
        <v>558</v>
      </c>
      <c r="W59" t="str">
        <f>VLOOKUP(S59,Hoja1!$A$1:$C$5,3,0)</f>
        <v>C:/Users/Brandon.Lopez/Documents/Trabajo/1906 Acuña/Cuestionarios empresas/Oficio para camaras/Propuesta de invitación Agentes Aduanales.docx</v>
      </c>
      <c r="X59" t="s">
        <v>582</v>
      </c>
      <c r="Y59" s="96" t="str">
        <f t="shared" si="4"/>
        <v xml:space="preserve">Estimado/a C.P. YOLANDA ESTHELA CALDERÓN AMEZCUA
 PRESIDENTE
 ASOCIACION DE AGENTES ADUANALES DE ACUÑA 
</v>
      </c>
      <c r="Z59" s="92" t="s">
        <v>574</v>
      </c>
      <c r="AA59" s="96" t="str">
        <f t="shared" si="8"/>
        <v xml:space="preserve">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anónima.:https://forms.gle/ML9Kq1n2aGfQywZ56
</v>
      </c>
      <c r="AB59" s="96" t="s">
        <v>577</v>
      </c>
      <c r="AC59" s="94" t="str">
        <f t="shared" si="5"/>
        <v xml:space="preserve">Así mismo, se le reitera que la información que la Cámara o sus agremiados nos proporcionen, se mantendrá en total confidencialidad y será destinada únicamente para los propósitos de este proyecto.
</v>
      </c>
      <c r="AD59" s="94" t="s">
        <v>575</v>
      </c>
      <c r="AE59" s="95" t="str">
        <f t="shared" si="6"/>
        <v xml:space="preserve">
En espera de su respuesta, agradecemos de antemano su colaboración y quedamos a su disposición para una llamada por cualquier duda o aclaración que requiera. ¡Esperamos contar con su valioso apoyo!</v>
      </c>
      <c r="AF59" t="str">
        <f t="shared" si="7"/>
        <v>Estimado/a C.P. YOLANDA ESTHELA CALDERÓN AMEZCUA
 PRESIDENTE
 ASOCIACION DE AGENTES ADUANALES DE ACUÑA 
FOA Consultores es una firma de consultoría mexicana que ha sido contratada por la Secretaría de Infraestructura, Desarrollo Urbano y Movilidad (SIDUM) del Estado de Coahuila de Zaragoza para el estudio de “Alternativas de mejora a las redes de infraestructura, equipamiento urbano, social y ambiental del área del cruce fronterizo entre Ciudad Acuña, Coahuila y Del Río, Texas.”. Por este motivo, SIDUM encomendó a FOA recabar la opinión de los usuarios de los puentes fronterizos, buscando con ello brindarles las mejores condiciones operativas y logísticas. Igualmente, la Secretaría de Economía del Estado de Coahuila nos proporcionó sus datos, como una cámara comprometida con el desarrollo y que apoya las iniciativas.
La solicitud concreta a su Cámara es poder apoyar esta iniciativa en dos aspectos:
1. Contestar la encuesta para cámaras, que encontrará en el siguiente link  https://forms.gle/c3tZc4o6XfUuzPj2A 
2. Invitar a sus agremiados a responder la encuesta que se encuentra en el link adjunto, de una manera totalmente anónima.:https://forms.gle/ML9Kq1n2aGfQywZ56
En el presente correo podrá encontrar:
• Oficio emitido por el Gobierno del Estado.
• Oficio emitido por FOA hacia su cámara.
• Invitación propuesta para que invite a sus agremiados.
Así mismo, se le reitera que la información que la Cámara o sus agremiados nos proporcionen, se mantendrá en total confidencialidad y será destinada únicamente para los propósitos de este proyecto.
En concordancia con lo anterior FOA Consultores se asegura de que todas las áreas de la firma actúen con total integridad, es decir, con ausencia de actos de corrupción. Para soportarlo de forma consistente, nuestra empresa está certificada en la norma ISO-9001:2000 en Integridad de Gestión en Proyectos de Consultoría y en la norma ISO-37001:2016 en Sistema de Gestión Antisoborno.
En espera de su respuesta, agradecemos de antemano su colaboración y quedamos a su disposición para una llamada por cualquier duda o aclaración que requiera. ¡Esperamos contar con su valioso apoyo!</v>
      </c>
    </row>
  </sheetData>
  <hyperlinks>
    <hyperlink ref="C2" r:id="rId1" display="mailto:guillermo.gonzalez@coahuila.gob.mx"/>
    <hyperlink ref="D2" r:id="rId2" display="mailto:luis.urrazadugay@gmail.com"/>
    <hyperlink ref="D3" r:id="rId3" display="mailto:luis.urrazadugay@gmail.com"/>
    <hyperlink ref="D4" r:id="rId4" display="mailto:luis.urrazadugay@gmail.com"/>
    <hyperlink ref="D5" r:id="rId5" display="mailto:luis.urrazadugay@gmail.com"/>
    <hyperlink ref="D6" r:id="rId6" display="mailto:luis.urrazadugay@gmail.com"/>
    <hyperlink ref="D7" r:id="rId7" display="mailto:luis.urrazadugay@gmail.com"/>
    <hyperlink ref="D8" r:id="rId8" display="mailto:luis.urrazadugay@gmail.com"/>
    <hyperlink ref="D9" r:id="rId9" display="mailto:luis.urrazadugay@gmail.com"/>
    <hyperlink ref="D10" r:id="rId10" display="mailto:luis.urrazadugay@gmail.com"/>
    <hyperlink ref="D11" r:id="rId11" display="mailto:luis.urrazadugay@gmail.com"/>
    <hyperlink ref="D12" r:id="rId12" display="mailto:luis.urrazadugay@gmail.com"/>
    <hyperlink ref="D13" r:id="rId13" display="mailto:luis.urrazadugay@gmail.com"/>
    <hyperlink ref="D14" r:id="rId14" display="mailto:luis.urrazadugay@gmail.com"/>
    <hyperlink ref="D15" r:id="rId15" display="mailto:luis.urrazadugay@gmail.com"/>
    <hyperlink ref="D16" r:id="rId16" display="mailto:luis.urrazadugay@gmail.com"/>
    <hyperlink ref="D17" r:id="rId17" display="mailto:luis.urrazadugay@gmail.com"/>
    <hyperlink ref="D18" r:id="rId18" display="mailto:luis.urrazadugay@gmail.com"/>
    <hyperlink ref="D19" r:id="rId19" display="mailto:luis.urrazadugay@gmail.com"/>
    <hyperlink ref="D20" r:id="rId20" display="mailto:luis.urrazadugay@gmail.com"/>
    <hyperlink ref="D21" r:id="rId21" display="mailto:luis.urrazadugay@gmail.com"/>
    <hyperlink ref="D22" r:id="rId22" display="mailto:luis.urrazadugay@gmail.com"/>
    <hyperlink ref="D23" r:id="rId23" display="mailto:luis.urrazadugay@gmail.com"/>
    <hyperlink ref="D24" r:id="rId24" display="mailto:luis.urrazadugay@gmail.com"/>
    <hyperlink ref="D25" r:id="rId25" display="mailto:luis.urrazadugay@gmail.com"/>
    <hyperlink ref="D26" r:id="rId26" display="mailto:luis.urrazadugay@gmail.com"/>
    <hyperlink ref="D27" r:id="rId27" display="mailto:luis.urrazadugay@gmail.com"/>
    <hyperlink ref="D28" r:id="rId28" display="mailto:luis.urrazadugay@gmail.com"/>
    <hyperlink ref="D29" r:id="rId29" display="mailto:luis.urrazadugay@gmail.com"/>
    <hyperlink ref="D30" r:id="rId30" display="mailto:luis.urrazadugay@gmail.com"/>
    <hyperlink ref="D31" r:id="rId31" display="mailto:luis.urrazadugay@gmail.com"/>
    <hyperlink ref="D32" r:id="rId32" display="mailto:luis.urrazadugay@gmail.com"/>
    <hyperlink ref="D33" r:id="rId33" display="mailto:luis.urrazadugay@gmail.com"/>
    <hyperlink ref="D34" r:id="rId34" display="mailto:luis.urrazadugay@gmail.com"/>
    <hyperlink ref="D35" r:id="rId35" display="mailto:luis.urrazadugay@gmail.com"/>
    <hyperlink ref="D36" r:id="rId36" display="mailto:luis.urrazadugay@gmail.com"/>
    <hyperlink ref="D37" r:id="rId37" display="mailto:luis.urrazadugay@gmail.com"/>
    <hyperlink ref="D38" r:id="rId38" display="mailto:luis.urrazadugay@gmail.com"/>
    <hyperlink ref="D39" r:id="rId39" display="mailto:luis.urrazadugay@gmail.com"/>
    <hyperlink ref="D40" r:id="rId40" display="mailto:luis.urrazadugay@gmail.com"/>
    <hyperlink ref="D41" r:id="rId41" display="mailto:luis.urrazadugay@gmail.com"/>
    <hyperlink ref="D42" r:id="rId42" display="mailto:luis.urrazadugay@gmail.com"/>
    <hyperlink ref="D43" r:id="rId43" display="mailto:luis.urrazadugay@gmail.com"/>
    <hyperlink ref="D44" r:id="rId44" display="mailto:luis.urrazadugay@gmail.com"/>
    <hyperlink ref="D45" r:id="rId45" display="mailto:luis.urrazadugay@gmail.com"/>
    <hyperlink ref="D46" r:id="rId46" display="mailto:luis.urrazadugay@gmail.com"/>
    <hyperlink ref="D47" r:id="rId47" display="mailto:luis.urrazadugay@gmail.com"/>
    <hyperlink ref="D48" r:id="rId48" display="mailto:luis.urrazadugay@gmail.com"/>
    <hyperlink ref="D49" r:id="rId49" display="mailto:luis.urrazadugay@gmail.com"/>
    <hyperlink ref="D50" r:id="rId50" display="mailto:luis.urrazadugay@gmail.com"/>
    <hyperlink ref="D51" r:id="rId51" display="mailto:luis.urrazadugay@gmail.com"/>
    <hyperlink ref="D52" r:id="rId52" display="mailto:luis.urrazadugay@gmail.com"/>
    <hyperlink ref="D53" r:id="rId53" display="mailto:luis.urrazadugay@gmail.com"/>
    <hyperlink ref="D54" r:id="rId54" display="mailto:luis.urrazadugay@gmail.com"/>
    <hyperlink ref="D55" r:id="rId55" display="mailto:luis.urrazadugay@gmail.com"/>
    <hyperlink ref="D56" r:id="rId56" display="mailto:luis.urrazadugay@gmail.com"/>
    <hyperlink ref="D57" r:id="rId57" display="mailto:luis.urrazadugay@gmail.com"/>
    <hyperlink ref="D58" r:id="rId58" display="mailto:luis.urrazadugay@gmail.com"/>
    <hyperlink ref="D59" r:id="rId59" display="mailto:luis.urrazadugay@gmail.com"/>
    <hyperlink ref="H2" r:id="rId60" display="file:///C:/Users/Brandon.Lopez/Documents/Trabajo/1906%20Acu%C3%B1a/Cuestionarios%20empresas/Oficio%20para%20camaras/PDF/SIDUM%20DPCC%20018%202023.pdf"/>
    <hyperlink ref="H3:H59" r:id="rId61" display="file:///C:/Users/Brandon.Lopez/Documents/Trabajo/1906%20Acu%C3%B1a/Cuestionarios%20empresas/Oficio%20para%20camaras/PDF/SIDUM%20DPCC%20018%202023.pdf"/>
    <hyperlink ref="C3:C59" r:id="rId62" display="mailto:guillermo.gonzalez@coahuila.gob.mx"/>
  </hyperlinks>
  <pageMargins left="0.7" right="0.7" top="0.75" bottom="0.75" header="0.3" footer="0.3"/>
  <pageSetup paperSize="9" orientation="portrait" r:id="rId6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5 regiones</vt:lpstr>
      <vt:lpstr>Hoja1</vt:lpstr>
      <vt:lpstr>Hoja2</vt:lpstr>
      <vt:lpstr>5 regiones (2)</vt:lpstr>
      <vt:lpstr>5 regiones (3)</vt:lpstr>
      <vt:lpstr>Hoja4</vt:lpstr>
      <vt:lpstr>Ardest</vt:lpstr>
    </vt:vector>
  </TitlesOfParts>
  <Company>Hewlett-Packard Company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Galván</dc:creator>
  <cp:lastModifiedBy>Brandon Lopez</cp:lastModifiedBy>
  <cp:lastPrinted>2023-09-29T17:06:46Z</cp:lastPrinted>
  <dcterms:created xsi:type="dcterms:W3CDTF">2020-05-13T19:36:44Z</dcterms:created>
  <dcterms:modified xsi:type="dcterms:W3CDTF">2023-10-04T20:39:45Z</dcterms:modified>
</cp:coreProperties>
</file>